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on 483 Notes and Presentation\"/>
    </mc:Choice>
  </mc:AlternateContent>
  <xr:revisionPtr revIDLastSave="0" documentId="13_ncr:1_{4C96052D-1BCB-4888-AB24-808203328AF9}" xr6:coauthVersionLast="36" xr6:coauthVersionMax="47" xr10:uidLastSave="{00000000-0000-0000-0000-000000000000}"/>
  <bookViews>
    <workbookView xWindow="4215" yWindow="780" windowWidth="17280" windowHeight="9420" xr2:uid="{895FD719-B7CD-4D9E-B2DA-2DB693F708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2" i="1" l="1"/>
  <c r="H101" i="1" s="1"/>
  <c r="H100" i="1" s="1"/>
  <c r="H99" i="1" s="1"/>
  <c r="H98" i="1" s="1"/>
  <c r="H97" i="1" s="1"/>
  <c r="H96" i="1" s="1"/>
  <c r="H95" i="1" s="1"/>
  <c r="H94" i="1" s="1"/>
  <c r="H93" i="1" s="1"/>
  <c r="H92" i="1" s="1"/>
  <c r="H91" i="1" s="1"/>
  <c r="H90" i="1" s="1"/>
  <c r="H89" i="1" s="1"/>
  <c r="H88" i="1" s="1"/>
  <c r="H87" i="1" s="1"/>
  <c r="H86" i="1" s="1"/>
  <c r="H85" i="1" s="1"/>
  <c r="H84" i="1" s="1"/>
  <c r="H83" i="1" s="1"/>
  <c r="H82" i="1" s="1"/>
  <c r="H81" i="1" s="1"/>
  <c r="H80" i="1" s="1"/>
  <c r="H79" i="1" s="1"/>
  <c r="H78" i="1" s="1"/>
  <c r="H77" i="1" s="1"/>
  <c r="H76" i="1" s="1"/>
  <c r="H75" i="1" s="1"/>
  <c r="H74" i="1" s="1"/>
  <c r="H73" i="1" s="1"/>
  <c r="H72" i="1" s="1"/>
  <c r="H71" i="1" s="1"/>
  <c r="H70" i="1" s="1"/>
  <c r="H69" i="1" s="1"/>
  <c r="H68" i="1" s="1"/>
  <c r="H67" i="1" s="1"/>
  <c r="H66" i="1" s="1"/>
  <c r="H65" i="1" s="1"/>
  <c r="H64" i="1" s="1"/>
  <c r="H63" i="1" s="1"/>
  <c r="H62" i="1" s="1"/>
  <c r="H61" i="1" s="1"/>
  <c r="H60" i="1" s="1"/>
  <c r="H59" i="1" s="1"/>
  <c r="H58" i="1" s="1"/>
  <c r="H57" i="1" s="1"/>
  <c r="H56" i="1" s="1"/>
  <c r="H55" i="1" s="1"/>
  <c r="H54" i="1" s="1"/>
  <c r="H53" i="1" s="1"/>
  <c r="H52" i="1" s="1"/>
  <c r="H51" i="1" s="1"/>
  <c r="H50" i="1" s="1"/>
  <c r="H49" i="1" s="1"/>
  <c r="H48" i="1" s="1"/>
  <c r="H47" i="1" s="1"/>
  <c r="H46" i="1" s="1"/>
  <c r="H45" i="1" s="1"/>
  <c r="H44" i="1" s="1"/>
  <c r="H43" i="1" s="1"/>
  <c r="H42" i="1" s="1"/>
  <c r="H41" i="1" s="1"/>
  <c r="H40" i="1" s="1"/>
  <c r="H39" i="1" s="1"/>
  <c r="H38" i="1" s="1"/>
  <c r="H37" i="1" s="1"/>
  <c r="H36" i="1" s="1"/>
  <c r="H35" i="1" s="1"/>
  <c r="H34" i="1" s="1"/>
  <c r="H33" i="1" s="1"/>
  <c r="H32" i="1" s="1"/>
  <c r="H31" i="1" s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N150" i="1"/>
  <c r="N149" i="1" s="1"/>
  <c r="N148" i="1" s="1"/>
  <c r="N147" i="1" s="1"/>
  <c r="N146" i="1" s="1"/>
  <c r="N145" i="1" s="1"/>
  <c r="N144" i="1" s="1"/>
  <c r="N143" i="1" s="1"/>
  <c r="N142" i="1" s="1"/>
  <c r="N141" i="1" s="1"/>
  <c r="N140" i="1" s="1"/>
  <c r="N139" i="1" s="1"/>
  <c r="N138" i="1" s="1"/>
  <c r="N137" i="1" s="1"/>
  <c r="N136" i="1" s="1"/>
  <c r="N135" i="1" s="1"/>
  <c r="N134" i="1" s="1"/>
  <c r="N133" i="1" s="1"/>
  <c r="N132" i="1" s="1"/>
  <c r="N131" i="1" s="1"/>
  <c r="N130" i="1" s="1"/>
  <c r="N129" i="1" s="1"/>
  <c r="N128" i="1" s="1"/>
  <c r="N127" i="1" s="1"/>
  <c r="N126" i="1" s="1"/>
  <c r="N125" i="1" s="1"/>
  <c r="N124" i="1" s="1"/>
  <c r="N123" i="1" s="1"/>
  <c r="N122" i="1" s="1"/>
  <c r="N121" i="1" s="1"/>
  <c r="N120" i="1" s="1"/>
  <c r="N119" i="1" s="1"/>
  <c r="N118" i="1" s="1"/>
  <c r="N117" i="1" s="1"/>
  <c r="N116" i="1" s="1"/>
  <c r="N115" i="1" s="1"/>
  <c r="N114" i="1" s="1"/>
  <c r="N113" i="1" s="1"/>
  <c r="N112" i="1" s="1"/>
  <c r="N111" i="1" s="1"/>
  <c r="N110" i="1" s="1"/>
  <c r="N109" i="1" s="1"/>
  <c r="N108" i="1" s="1"/>
  <c r="N107" i="1" s="1"/>
  <c r="N106" i="1" s="1"/>
  <c r="N105" i="1" s="1"/>
  <c r="N104" i="1" s="1"/>
  <c r="N103" i="1" s="1"/>
  <c r="N102" i="1" s="1"/>
  <c r="N101" i="1" s="1"/>
  <c r="N100" i="1" s="1"/>
  <c r="N99" i="1" s="1"/>
  <c r="N98" i="1" s="1"/>
  <c r="N97" i="1" s="1"/>
  <c r="N96" i="1" s="1"/>
  <c r="N95" i="1" s="1"/>
  <c r="N94" i="1" s="1"/>
  <c r="N93" i="1" s="1"/>
  <c r="N92" i="1" s="1"/>
  <c r="N91" i="1" s="1"/>
  <c r="N90" i="1" s="1"/>
  <c r="N89" i="1" s="1"/>
  <c r="N88" i="1" s="1"/>
  <c r="N87" i="1" s="1"/>
  <c r="N86" i="1" s="1"/>
  <c r="N85" i="1" s="1"/>
  <c r="N84" i="1" s="1"/>
  <c r="N83" i="1" s="1"/>
  <c r="N82" i="1" s="1"/>
  <c r="N81" i="1" s="1"/>
  <c r="N80" i="1" s="1"/>
  <c r="N79" i="1" s="1"/>
  <c r="N78" i="1" s="1"/>
  <c r="N77" i="1" s="1"/>
  <c r="N76" i="1" s="1"/>
  <c r="N75" i="1" s="1"/>
  <c r="N74" i="1" s="1"/>
  <c r="N73" i="1" s="1"/>
  <c r="N72" i="1" s="1"/>
  <c r="N71" i="1" s="1"/>
  <c r="N70" i="1" s="1"/>
  <c r="N69" i="1" s="1"/>
  <c r="N68" i="1" s="1"/>
  <c r="N67" i="1" s="1"/>
  <c r="N66" i="1" s="1"/>
  <c r="N65" i="1" s="1"/>
  <c r="N64" i="1" s="1"/>
  <c r="N63" i="1" s="1"/>
  <c r="N62" i="1" s="1"/>
  <c r="N61" i="1" s="1"/>
  <c r="N60" i="1" s="1"/>
  <c r="N59" i="1" s="1"/>
  <c r="N58" i="1" s="1"/>
  <c r="N57" i="1" s="1"/>
  <c r="N56" i="1" s="1"/>
  <c r="N55" i="1" s="1"/>
  <c r="N54" i="1" s="1"/>
  <c r="N53" i="1" s="1"/>
  <c r="N52" i="1" s="1"/>
  <c r="N51" i="1" s="1"/>
  <c r="N50" i="1" s="1"/>
  <c r="N49" i="1" s="1"/>
  <c r="N48" i="1" s="1"/>
  <c r="N47" i="1" s="1"/>
  <c r="N46" i="1" s="1"/>
  <c r="N45" i="1" s="1"/>
  <c r="N44" i="1" s="1"/>
  <c r="N43" i="1" s="1"/>
  <c r="N42" i="1" s="1"/>
  <c r="N41" i="1" s="1"/>
  <c r="N40" i="1" s="1"/>
  <c r="N39" i="1" s="1"/>
  <c r="N38" i="1" s="1"/>
  <c r="N37" i="1" s="1"/>
  <c r="N36" i="1" s="1"/>
  <c r="N35" i="1" s="1"/>
  <c r="N34" i="1" s="1"/>
  <c r="N33" i="1" s="1"/>
  <c r="N32" i="1" s="1"/>
  <c r="N31" i="1" s="1"/>
  <c r="N30" i="1" s="1"/>
  <c r="N29" i="1" s="1"/>
  <c r="N28" i="1" s="1"/>
  <c r="N27" i="1" s="1"/>
  <c r="N26" i="1" s="1"/>
  <c r="N25" i="1" s="1"/>
  <c r="N24" i="1" s="1"/>
  <c r="N23" i="1" s="1"/>
  <c r="N22" i="1" s="1"/>
  <c r="N21" i="1" s="1"/>
  <c r="N20" i="1" s="1"/>
  <c r="N19" i="1" s="1"/>
  <c r="N18" i="1" s="1"/>
  <c r="N17" i="1" s="1"/>
  <c r="N16" i="1" s="1"/>
  <c r="N15" i="1" s="1"/>
  <c r="N14" i="1" s="1"/>
  <c r="N155" i="1"/>
  <c r="N154" i="1" s="1"/>
  <c r="N153" i="1" s="1"/>
  <c r="N152" i="1" s="1"/>
  <c r="N151" i="1" s="1"/>
  <c r="N156" i="1"/>
  <c r="N157" i="1"/>
  <c r="J287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<sst xmlns="http://schemas.openxmlformats.org/spreadsheetml/2006/main" count="55" uniqueCount="55">
  <si>
    <t>Date</t>
  </si>
  <si>
    <t>TotalCPI</t>
  </si>
  <si>
    <t>CPItrim</t>
  </si>
  <si>
    <t>CPImedian</t>
  </si>
  <si>
    <t>CPIcommon</t>
  </si>
  <si>
    <t>RealReturnbonds</t>
  </si>
  <si>
    <t>LFS</t>
  </si>
  <si>
    <t>SEPH</t>
  </si>
  <si>
    <t>NominalCEER</t>
  </si>
  <si>
    <t>GrossM1</t>
  </si>
  <si>
    <t>GrossM2</t>
  </si>
  <si>
    <t>GrossM3</t>
  </si>
  <si>
    <t>GDPIndex</t>
  </si>
  <si>
    <t>CanadianOvernightRepoRate</t>
  </si>
  <si>
    <t>ImmediateInterbankrate</t>
  </si>
  <si>
    <t>UnemploymentRate</t>
  </si>
  <si>
    <t>Primerate</t>
  </si>
  <si>
    <t>Overnightrate</t>
  </si>
  <si>
    <t>library(tidyverse)</t>
  </si>
  <si>
    <t>library(rmarkdown)</t>
  </si>
  <si>
    <t>library(nycflights13)</t>
  </si>
  <si>
    <t>library(lubridate)</t>
  </si>
  <si>
    <t>library(Lock5Data)</t>
  </si>
  <si>
    <t>library(crimedata)</t>
  </si>
  <si>
    <t>library(fivethirtyeight)</t>
  </si>
  <si>
    <t>library(latex2exp)</t>
  </si>
  <si>
    <t>library(ISLR)</t>
  </si>
  <si>
    <t>library(stargazer)</t>
  </si>
  <si>
    <t>library(MASS)</t>
  </si>
  <si>
    <t>library(randomForest)</t>
  </si>
  <si>
    <t>library(party)</t>
  </si>
  <si>
    <t>library(tree)</t>
  </si>
  <si>
    <t>library(factoextra)</t>
  </si>
  <si>
    <t>library(corrplot)</t>
  </si>
  <si>
    <t>library(readxl)</t>
  </si>
  <si>
    <t>library(glmnet)</t>
  </si>
  <si>
    <t>library(np)</t>
  </si>
  <si>
    <t>library(pls)</t>
  </si>
  <si>
    <t>library(FactoMineR)</t>
  </si>
  <si>
    <t>library(car)</t>
  </si>
  <si>
    <t>library(modelr)</t>
  </si>
  <si>
    <t>library(leaps)</t>
  </si>
  <si>
    <t>library(FNN)</t>
  </si>
  <si>
    <t>library(rdd)</t>
  </si>
  <si>
    <t>library(AER)</t>
  </si>
  <si>
    <t>library(nlme)</t>
  </si>
  <si>
    <t>library(wooldridge)</t>
  </si>
  <si>
    <t xml:space="preserve">library(e1071) </t>
  </si>
  <si>
    <t>library(neuralnet)</t>
  </si>
  <si>
    <t xml:space="preserve">library(rpart.plot) </t>
  </si>
  <si>
    <t xml:space="preserve">library(ROCR)         </t>
  </si>
  <si>
    <t>library(data.table)</t>
  </si>
  <si>
    <t xml:space="preserve">library(kernlab)    </t>
  </si>
  <si>
    <t xml:space="preserve">library(rpart)     </t>
  </si>
  <si>
    <t xml:space="preserve">library(ggdendro)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</si>
</sst>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BF2E-D0DE-46C7-A9AB-E4FC9B495BFC}">
  <dimension ref="A1:R287"/>
  <sheetViews>
    <sheetView tabSelected="1" workbookViewId="0">
      <selection activeCell="K2" sqref="K2"/>
    </sheetView>
  </sheetViews>
  <sheetFormatPr defaultRowHeight="15" x14ac:dyDescent="0.25"/>
  <cols>
    <col min="1" max="1" width="22.28515625" bestFit="1" customWidth="1"/>
    <col min="14" max="14" width="24.7109375" bestFit="1" customWidth="1"/>
    <col min="15" max="15" width="21.140625" bestFit="1" customWidth="1"/>
    <col min="16" max="16" width="17.5703125" bestFit="1" customWidth="1"/>
    <col min="17" max="17" width="9" bestFit="1" customWidth="1"/>
    <col min="18" max="18" width="12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36161</v>
      </c>
      <c r="B2">
        <v>0.7</v>
      </c>
      <c r="C2">
        <v>1</v>
      </c>
      <c r="D2">
        <v>1.1000000000000001</v>
      </c>
      <c r="E2">
        <v>1.9</v>
      </c>
      <c r="F2">
        <v>1.1299999999999999</v>
      </c>
      <c r="G2" s="2"/>
      <c r="I2">
        <v>-3.3100000000000023</v>
      </c>
      <c r="J2">
        <v>4</v>
      </c>
      <c r="K2" s="2"/>
      <c r="L2">
        <v>6</v>
      </c>
      <c r="M2" s="2">
        <v>0.14692</v>
      </c>
      <c r="O2" s="4">
        <v>4.9913999999999996</v>
      </c>
      <c r="P2" s="2">
        <v>7.9</v>
      </c>
      <c r="Q2">
        <v>6.75</v>
      </c>
      <c r="R2" s="4">
        <v>4.9913999999999996</v>
      </c>
    </row>
    <row r="3" spans="1:18" x14ac:dyDescent="0.25">
      <c r="A3" s="1">
        <v>36192</v>
      </c>
      <c r="B3">
        <v>0.7</v>
      </c>
      <c r="C3">
        <v>1</v>
      </c>
      <c r="D3">
        <v>1.1000000000000001</v>
      </c>
      <c r="E3">
        <v>1.7</v>
      </c>
      <c r="F3">
        <v>1.3</v>
      </c>
      <c r="G3" s="2"/>
      <c r="H3" s="2">
        <f t="shared" ref="H3:H66" si="0">_xlfn.FORECAST.LINEAR(A3,H4:H181,A4:A181)</f>
        <v>3.8746887287034362</v>
      </c>
      <c r="I3">
        <v>-0.84000000000000341</v>
      </c>
      <c r="J3">
        <v>4.7</v>
      </c>
      <c r="K3" s="2"/>
      <c r="L3">
        <v>6.1</v>
      </c>
      <c r="M3" s="2">
        <v>0.12753</v>
      </c>
      <c r="O3" s="4">
        <v>4.9957000000000003</v>
      </c>
      <c r="P3" s="2">
        <v>7.9</v>
      </c>
      <c r="Q3">
        <v>6.75</v>
      </c>
      <c r="R3" s="4">
        <v>4.9957000000000003</v>
      </c>
    </row>
    <row r="4" spans="1:18" x14ac:dyDescent="0.25">
      <c r="A4" s="1">
        <v>36220</v>
      </c>
      <c r="B4">
        <v>1</v>
      </c>
      <c r="C4">
        <v>1.1000000000000001</v>
      </c>
      <c r="D4">
        <v>1.1000000000000001</v>
      </c>
      <c r="E4">
        <v>1.7</v>
      </c>
      <c r="F4">
        <v>1.2</v>
      </c>
      <c r="G4" s="2"/>
      <c r="H4" s="2">
        <f t="shared" si="0"/>
        <v>3.8623190298175274</v>
      </c>
      <c r="I4">
        <v>-1.6899999999999977</v>
      </c>
      <c r="J4">
        <v>4.5</v>
      </c>
      <c r="K4" s="2"/>
      <c r="L4">
        <v>6.1</v>
      </c>
      <c r="M4" s="2">
        <v>0.10019</v>
      </c>
      <c r="O4" s="4">
        <v>4.9943</v>
      </c>
      <c r="P4" s="2">
        <v>7.9</v>
      </c>
      <c r="Q4">
        <v>6.75</v>
      </c>
      <c r="R4" s="4">
        <v>4.9943</v>
      </c>
    </row>
    <row r="5" spans="1:18" x14ac:dyDescent="0.25">
      <c r="A5" s="1">
        <v>36251</v>
      </c>
      <c r="B5">
        <v>1.6</v>
      </c>
      <c r="C5">
        <v>1.3</v>
      </c>
      <c r="D5">
        <v>1.2</v>
      </c>
      <c r="E5">
        <v>2</v>
      </c>
      <c r="F5">
        <v>1.32</v>
      </c>
      <c r="G5" s="2"/>
      <c r="H5" s="2">
        <f t="shared" si="0"/>
        <v>3.8645018850824027</v>
      </c>
      <c r="I5">
        <v>0.15000000000000568</v>
      </c>
      <c r="J5">
        <v>5.6</v>
      </c>
      <c r="K5" s="2"/>
      <c r="L5">
        <v>6.1</v>
      </c>
      <c r="M5" s="2">
        <v>8.2970000000000002E-2</v>
      </c>
      <c r="O5" s="4">
        <v>4.7770999999999999</v>
      </c>
      <c r="P5" s="2">
        <v>8.1999999999999993</v>
      </c>
      <c r="Q5">
        <v>6.5</v>
      </c>
      <c r="R5" s="4">
        <v>4.7770999999999999</v>
      </c>
    </row>
    <row r="6" spans="1:18" x14ac:dyDescent="0.25">
      <c r="A6" s="1">
        <v>36281</v>
      </c>
      <c r="B6">
        <v>1.5</v>
      </c>
      <c r="C6">
        <v>1.3</v>
      </c>
      <c r="D6">
        <v>1.2</v>
      </c>
      <c r="E6">
        <v>2</v>
      </c>
      <c r="F6">
        <v>1.5</v>
      </c>
      <c r="G6" s="2">
        <f t="shared" ref="G3:G55" si="1">_xlfn.FORECAST.LINEAR(F6,G114:G291,F114:F291)</f>
        <v>3.3983283331991556</v>
      </c>
      <c r="H6" s="2">
        <f t="shared" si="0"/>
        <v>3.8576436294563692</v>
      </c>
      <c r="I6">
        <v>2.0499999999999972</v>
      </c>
      <c r="J6">
        <v>5.8</v>
      </c>
      <c r="K6" s="2"/>
      <c r="L6">
        <v>6</v>
      </c>
      <c r="M6" s="2">
        <v>8.3220000000000002E-2</v>
      </c>
      <c r="O6" s="4">
        <v>4.5929000000000002</v>
      </c>
      <c r="P6" s="2">
        <v>7.9</v>
      </c>
      <c r="Q6">
        <v>6.25</v>
      </c>
      <c r="R6" s="4">
        <v>4.5929000000000002</v>
      </c>
    </row>
    <row r="7" spans="1:18" x14ac:dyDescent="0.25">
      <c r="A7" s="1">
        <v>36312</v>
      </c>
      <c r="B7">
        <v>1.6</v>
      </c>
      <c r="C7">
        <v>1.3</v>
      </c>
      <c r="D7">
        <v>1.2</v>
      </c>
      <c r="E7">
        <v>2</v>
      </c>
      <c r="F7">
        <v>1.6</v>
      </c>
      <c r="G7" s="2">
        <f t="shared" si="1"/>
        <v>3.2304456322717878</v>
      </c>
      <c r="H7" s="2">
        <f t="shared" si="0"/>
        <v>3.8436952456096414</v>
      </c>
      <c r="I7">
        <v>1.9000000000000057</v>
      </c>
      <c r="J7">
        <v>5.6</v>
      </c>
      <c r="K7" s="2"/>
      <c r="L7">
        <v>6</v>
      </c>
      <c r="M7" s="2">
        <v>9.8780000000000007E-2</v>
      </c>
      <c r="O7" s="4">
        <v>4.5956999999999999</v>
      </c>
      <c r="P7" s="2">
        <v>7.6</v>
      </c>
      <c r="Q7">
        <v>6.25</v>
      </c>
      <c r="R7" s="4">
        <v>4.5956999999999999</v>
      </c>
    </row>
    <row r="8" spans="1:18" x14ac:dyDescent="0.25">
      <c r="A8" s="1">
        <v>36342</v>
      </c>
      <c r="B8">
        <v>1.9</v>
      </c>
      <c r="C8">
        <v>1.3</v>
      </c>
      <c r="D8">
        <v>1.2</v>
      </c>
      <c r="E8">
        <v>1.9</v>
      </c>
      <c r="F8">
        <v>1.72</v>
      </c>
      <c r="G8" s="2">
        <f t="shared" si="1"/>
        <v>3.0052028062765461</v>
      </c>
      <c r="H8" s="2">
        <f t="shared" si="0"/>
        <v>3.8334225809120515</v>
      </c>
      <c r="I8">
        <v>0.46999999999999886</v>
      </c>
      <c r="J8">
        <v>5.5</v>
      </c>
      <c r="K8" s="2"/>
      <c r="L8">
        <v>5.9</v>
      </c>
      <c r="M8" s="2">
        <v>0.11799999999999999</v>
      </c>
      <c r="O8" s="4">
        <v>4.6113999999999997</v>
      </c>
      <c r="P8" s="2">
        <v>7.6</v>
      </c>
      <c r="Q8">
        <v>6.25</v>
      </c>
      <c r="R8" s="4">
        <v>4.6113999999999997</v>
      </c>
    </row>
    <row r="9" spans="1:18" x14ac:dyDescent="0.25">
      <c r="A9" s="1">
        <v>36373</v>
      </c>
      <c r="B9">
        <v>2.1</v>
      </c>
      <c r="C9">
        <v>1.3</v>
      </c>
      <c r="D9">
        <v>1.2</v>
      </c>
      <c r="E9">
        <v>1.8</v>
      </c>
      <c r="F9">
        <v>1.65</v>
      </c>
      <c r="G9" s="2">
        <f t="shared" si="1"/>
        <v>3.1374475589587534</v>
      </c>
      <c r="H9" s="2">
        <f t="shared" si="0"/>
        <v>3.8227903196955744</v>
      </c>
      <c r="I9">
        <v>-0.40999999999999659</v>
      </c>
      <c r="J9">
        <v>5.9</v>
      </c>
      <c r="K9" s="2"/>
      <c r="L9">
        <v>5.9</v>
      </c>
      <c r="M9" s="2">
        <v>0.13492000000000001</v>
      </c>
      <c r="O9" s="4">
        <v>4.6228999999999996</v>
      </c>
      <c r="P9" s="2">
        <v>7.4</v>
      </c>
      <c r="Q9">
        <v>6.25</v>
      </c>
      <c r="R9" s="4">
        <v>4.6228999999999996</v>
      </c>
    </row>
    <row r="10" spans="1:18" x14ac:dyDescent="0.25">
      <c r="A10" s="1">
        <v>36404</v>
      </c>
      <c r="B10">
        <v>2.6</v>
      </c>
      <c r="C10">
        <v>1.5</v>
      </c>
      <c r="D10">
        <v>1.3</v>
      </c>
      <c r="E10">
        <v>1.9</v>
      </c>
      <c r="F10">
        <v>1.86</v>
      </c>
      <c r="G10" s="2">
        <f t="shared" si="1"/>
        <v>2.7000657380607498</v>
      </c>
      <c r="H10" s="2">
        <f t="shared" si="0"/>
        <v>3.7989304379913591</v>
      </c>
      <c r="I10">
        <v>0.23000000000000398</v>
      </c>
      <c r="J10">
        <v>5.6</v>
      </c>
      <c r="K10" s="2"/>
      <c r="L10">
        <v>5.8</v>
      </c>
      <c r="M10" s="2">
        <v>0.14782000000000001</v>
      </c>
      <c r="O10" s="4">
        <v>4.5785999999999998</v>
      </c>
      <c r="P10" s="2">
        <v>7.5</v>
      </c>
      <c r="Q10">
        <v>6.25</v>
      </c>
      <c r="R10" s="4">
        <v>4.5785999999999998</v>
      </c>
    </row>
    <row r="11" spans="1:18" x14ac:dyDescent="0.25">
      <c r="A11" s="1">
        <v>36434</v>
      </c>
      <c r="B11">
        <v>2.2999999999999998</v>
      </c>
      <c r="C11">
        <v>1.5</v>
      </c>
      <c r="D11">
        <v>1.3</v>
      </c>
      <c r="E11">
        <v>1.8</v>
      </c>
      <c r="F11">
        <v>2.31</v>
      </c>
      <c r="G11" s="2">
        <f t="shared" si="1"/>
        <v>1.7431932801868948</v>
      </c>
      <c r="H11" s="2">
        <f t="shared" si="0"/>
        <v>3.7824209202194474</v>
      </c>
      <c r="I11">
        <v>3.0000000000001137E-2</v>
      </c>
      <c r="J11">
        <v>5.8</v>
      </c>
      <c r="K11" s="2"/>
      <c r="L11">
        <v>5.9</v>
      </c>
      <c r="M11" s="2">
        <v>0.15790999999999999</v>
      </c>
      <c r="O11" s="4">
        <v>4.6056999999999997</v>
      </c>
      <c r="P11" s="2">
        <v>7.2</v>
      </c>
      <c r="Q11">
        <v>6.25</v>
      </c>
      <c r="R11" s="4">
        <v>4.6056999999999997</v>
      </c>
    </row>
    <row r="12" spans="1:18" x14ac:dyDescent="0.25">
      <c r="A12" s="1">
        <v>36465</v>
      </c>
      <c r="B12">
        <v>2.2000000000000002</v>
      </c>
      <c r="C12">
        <v>1.5</v>
      </c>
      <c r="D12">
        <v>1.3</v>
      </c>
      <c r="E12">
        <v>1.8</v>
      </c>
      <c r="F12">
        <v>2.06</v>
      </c>
      <c r="G12" s="2">
        <f t="shared" si="1"/>
        <v>2.2593074203889962</v>
      </c>
      <c r="H12" s="2">
        <f t="shared" si="0"/>
        <v>3.7647239015740492</v>
      </c>
      <c r="I12">
        <v>0.93000000000000682</v>
      </c>
      <c r="J12">
        <v>6.5</v>
      </c>
      <c r="K12" s="2"/>
      <c r="L12">
        <v>5.9</v>
      </c>
      <c r="M12" s="2">
        <v>0.16539999999999999</v>
      </c>
      <c r="O12" s="4">
        <v>4.7713999999999999</v>
      </c>
      <c r="P12" s="2">
        <v>6.9</v>
      </c>
      <c r="Q12">
        <v>6.5</v>
      </c>
      <c r="R12" s="4">
        <v>4.7713999999999999</v>
      </c>
    </row>
    <row r="13" spans="1:18" x14ac:dyDescent="0.25">
      <c r="A13" s="1">
        <v>36495</v>
      </c>
      <c r="B13">
        <v>2.6</v>
      </c>
      <c r="C13">
        <v>1.6</v>
      </c>
      <c r="D13">
        <v>1.4</v>
      </c>
      <c r="E13">
        <v>1.9</v>
      </c>
      <c r="F13">
        <v>2.2200000000000002</v>
      </c>
      <c r="G13" s="2">
        <f t="shared" si="1"/>
        <v>1.9274171502335973</v>
      </c>
      <c r="H13" s="2">
        <f t="shared" si="0"/>
        <v>3.7541546030224797</v>
      </c>
      <c r="I13">
        <v>0.5</v>
      </c>
      <c r="J13">
        <v>7.5</v>
      </c>
      <c r="K13" s="2"/>
      <c r="L13">
        <v>6</v>
      </c>
      <c r="M13" s="2">
        <v>0.16872000000000001</v>
      </c>
      <c r="O13" s="4">
        <v>4.7586000000000004</v>
      </c>
      <c r="P13" s="2">
        <v>6.8</v>
      </c>
      <c r="Q13">
        <v>6.5</v>
      </c>
      <c r="R13" s="4">
        <v>4.7586000000000004</v>
      </c>
    </row>
    <row r="14" spans="1:18" x14ac:dyDescent="0.25">
      <c r="A14" s="1">
        <v>36526</v>
      </c>
      <c r="B14">
        <v>2.2000000000000002</v>
      </c>
      <c r="C14">
        <v>1.5</v>
      </c>
      <c r="D14">
        <v>1.3</v>
      </c>
      <c r="E14">
        <v>1.5</v>
      </c>
      <c r="F14">
        <v>2.25</v>
      </c>
      <c r="G14" s="2">
        <f t="shared" si="1"/>
        <v>1.8668545011460971</v>
      </c>
      <c r="H14" s="2">
        <f t="shared" si="0"/>
        <v>3.7531738483896522</v>
      </c>
      <c r="I14">
        <v>2.3100000000000023</v>
      </c>
      <c r="J14">
        <v>6.9</v>
      </c>
      <c r="K14">
        <v>6.2</v>
      </c>
      <c r="L14">
        <v>5.8</v>
      </c>
      <c r="M14" s="2">
        <v>0.16399</v>
      </c>
      <c r="N14" s="4">
        <f t="shared" ref="N14:N77" si="2">_xlfn.FORECAST.LINEAR(A14,N15:N144,A15:A144)</f>
        <v>1.0567537773197118</v>
      </c>
      <c r="O14" s="4">
        <v>4.7699999999999996</v>
      </c>
      <c r="P14" s="2">
        <v>6.8</v>
      </c>
      <c r="Q14">
        <v>6.5</v>
      </c>
      <c r="R14" s="4">
        <v>4.7699999999999996</v>
      </c>
    </row>
    <row r="15" spans="1:18" x14ac:dyDescent="0.25">
      <c r="A15" s="1">
        <v>36557</v>
      </c>
      <c r="B15">
        <v>2.7</v>
      </c>
      <c r="C15">
        <v>1.6</v>
      </c>
      <c r="D15">
        <v>1.4</v>
      </c>
      <c r="E15">
        <v>1.8</v>
      </c>
      <c r="F15">
        <v>1.91</v>
      </c>
      <c r="G15" s="2">
        <f t="shared" si="1"/>
        <v>2.5634628927964926</v>
      </c>
      <c r="H15" s="2">
        <f t="shared" si="0"/>
        <v>3.745197152108716</v>
      </c>
      <c r="I15">
        <v>2.8799999999999955</v>
      </c>
      <c r="J15">
        <v>8.8000000000000007</v>
      </c>
      <c r="K15">
        <v>7.6</v>
      </c>
      <c r="L15">
        <v>6.3</v>
      </c>
      <c r="M15" s="2">
        <v>0.14946999999999999</v>
      </c>
      <c r="N15" s="4">
        <f t="shared" si="2"/>
        <v>1.0539076539331054</v>
      </c>
      <c r="O15" s="4">
        <v>4.9714</v>
      </c>
      <c r="P15" s="2">
        <v>6.9</v>
      </c>
      <c r="Q15">
        <v>6.75</v>
      </c>
      <c r="R15" s="4">
        <v>4.9714</v>
      </c>
    </row>
    <row r="16" spans="1:18" x14ac:dyDescent="0.25">
      <c r="A16" s="1">
        <v>36586</v>
      </c>
      <c r="B16">
        <v>3</v>
      </c>
      <c r="C16">
        <v>1.6</v>
      </c>
      <c r="D16">
        <v>1.4</v>
      </c>
      <c r="E16">
        <v>1.9</v>
      </c>
      <c r="F16">
        <v>2.04</v>
      </c>
      <c r="G16" s="2">
        <f t="shared" si="1"/>
        <v>2.2968929253444843</v>
      </c>
      <c r="H16" s="2">
        <f t="shared" si="0"/>
        <v>3.7343643551042884</v>
      </c>
      <c r="I16">
        <v>2.1099999999999994</v>
      </c>
      <c r="J16">
        <v>10.199999999999999</v>
      </c>
      <c r="K16">
        <v>9.1</v>
      </c>
      <c r="L16">
        <v>6.8</v>
      </c>
      <c r="M16" s="2">
        <v>0.12590000000000001</v>
      </c>
      <c r="N16" s="4">
        <f t="shared" si="2"/>
        <v>1.0511004243188466</v>
      </c>
      <c r="O16" s="4">
        <v>5.2485999999999997</v>
      </c>
      <c r="P16" s="2">
        <v>6.9</v>
      </c>
      <c r="Q16">
        <v>7</v>
      </c>
      <c r="R16" s="4">
        <v>5.2485999999999997</v>
      </c>
    </row>
    <row r="17" spans="1:18" x14ac:dyDescent="0.25">
      <c r="A17" s="1">
        <v>36617</v>
      </c>
      <c r="B17">
        <v>2.2000000000000002</v>
      </c>
      <c r="C17">
        <v>1.5</v>
      </c>
      <c r="D17">
        <v>1.3</v>
      </c>
      <c r="E17">
        <v>1.4</v>
      </c>
      <c r="F17">
        <v>2.2799999999999998</v>
      </c>
      <c r="G17" s="2">
        <f t="shared" si="1"/>
        <v>1.8015910446051668</v>
      </c>
      <c r="H17" s="2">
        <f t="shared" si="0"/>
        <v>3.7119610929470426</v>
      </c>
      <c r="I17">
        <v>1.8299999999999983</v>
      </c>
      <c r="J17">
        <v>10.8</v>
      </c>
      <c r="K17">
        <v>9.3000000000000007</v>
      </c>
      <c r="L17">
        <v>7</v>
      </c>
      <c r="M17" s="2">
        <v>9.7470000000000001E-2</v>
      </c>
      <c r="N17" s="4">
        <f t="shared" si="2"/>
        <v>1.0482045625436993</v>
      </c>
      <c r="O17" s="4">
        <v>5.2586000000000004</v>
      </c>
      <c r="P17" s="2">
        <v>6.7</v>
      </c>
      <c r="Q17">
        <v>7</v>
      </c>
      <c r="R17" s="4">
        <v>5.2586000000000004</v>
      </c>
    </row>
    <row r="18" spans="1:18" x14ac:dyDescent="0.25">
      <c r="A18" s="1">
        <v>36647</v>
      </c>
      <c r="B18">
        <v>2.4</v>
      </c>
      <c r="C18">
        <v>1.6</v>
      </c>
      <c r="D18">
        <v>1.4</v>
      </c>
      <c r="E18">
        <v>1.6</v>
      </c>
      <c r="F18">
        <v>1.82</v>
      </c>
      <c r="G18" s="2">
        <f t="shared" si="1"/>
        <v>2.7288210463221008</v>
      </c>
      <c r="H18" s="2">
        <f t="shared" si="0"/>
        <v>3.694691154033741</v>
      </c>
      <c r="I18">
        <v>1.019999999999996</v>
      </c>
      <c r="J18">
        <v>9.6</v>
      </c>
      <c r="K18">
        <v>8.1999999999999993</v>
      </c>
      <c r="L18">
        <v>6.8</v>
      </c>
      <c r="M18" s="2">
        <v>6.4990000000000006E-2</v>
      </c>
      <c r="N18" s="4">
        <f t="shared" si="2"/>
        <v>1.045324756368011</v>
      </c>
      <c r="O18" s="4">
        <v>5.7529000000000003</v>
      </c>
      <c r="P18" s="2">
        <v>6.6</v>
      </c>
      <c r="Q18">
        <v>7.5</v>
      </c>
      <c r="R18" s="4">
        <v>5.7529000000000003</v>
      </c>
    </row>
    <row r="19" spans="1:18" x14ac:dyDescent="0.25">
      <c r="A19" s="1">
        <v>36678</v>
      </c>
      <c r="B19">
        <v>2.8</v>
      </c>
      <c r="C19">
        <v>1.8</v>
      </c>
      <c r="D19">
        <v>1.6</v>
      </c>
      <c r="E19">
        <v>1.7</v>
      </c>
      <c r="F19">
        <v>1.84</v>
      </c>
      <c r="G19" s="2">
        <f t="shared" si="1"/>
        <v>2.6848124683688104</v>
      </c>
      <c r="H19" s="2">
        <f t="shared" si="0"/>
        <v>3.6861842925108181</v>
      </c>
      <c r="I19">
        <v>1.7399999999999949</v>
      </c>
      <c r="J19">
        <v>10.8</v>
      </c>
      <c r="K19">
        <v>9.1999999999999993</v>
      </c>
      <c r="L19">
        <v>7.1</v>
      </c>
      <c r="M19" s="2">
        <v>2.792E-2</v>
      </c>
      <c r="N19" s="4">
        <f t="shared" si="2"/>
        <v>1.0424158186679557</v>
      </c>
      <c r="O19" s="4">
        <v>5.75</v>
      </c>
      <c r="P19" s="2">
        <v>6.7</v>
      </c>
      <c r="Q19">
        <v>7.5</v>
      </c>
      <c r="R19" s="4">
        <v>5.75</v>
      </c>
    </row>
    <row r="20" spans="1:18" x14ac:dyDescent="0.25">
      <c r="A20" s="1">
        <v>36708</v>
      </c>
      <c r="B20">
        <v>2.9</v>
      </c>
      <c r="C20">
        <v>1.8</v>
      </c>
      <c r="D20">
        <v>1.6</v>
      </c>
      <c r="E20">
        <v>1.8</v>
      </c>
      <c r="F20">
        <v>1.9</v>
      </c>
      <c r="G20" s="2">
        <f t="shared" si="1"/>
        <v>2.5545406406794986</v>
      </c>
      <c r="H20" s="2">
        <f t="shared" si="0"/>
        <v>3.6855490785646889</v>
      </c>
      <c r="I20">
        <v>1.7600000000000051</v>
      </c>
      <c r="J20">
        <v>10.8</v>
      </c>
      <c r="K20">
        <v>9.1999999999999993</v>
      </c>
      <c r="L20">
        <v>7.2</v>
      </c>
      <c r="M20" s="2">
        <v>-1.316E-2</v>
      </c>
      <c r="N20" s="4">
        <f t="shared" si="2"/>
        <v>1.0395547082547867</v>
      </c>
      <c r="O20" s="4">
        <v>5.7271000000000001</v>
      </c>
      <c r="P20" s="2">
        <v>6.8</v>
      </c>
      <c r="Q20">
        <v>7.5</v>
      </c>
      <c r="R20" s="4">
        <v>5.7271000000000001</v>
      </c>
    </row>
    <row r="21" spans="1:18" x14ac:dyDescent="0.25">
      <c r="A21" s="1">
        <v>36739</v>
      </c>
      <c r="B21">
        <v>2.6</v>
      </c>
      <c r="C21">
        <v>1.9</v>
      </c>
      <c r="D21">
        <v>1.7</v>
      </c>
      <c r="E21">
        <v>1.9</v>
      </c>
      <c r="F21">
        <v>1.84</v>
      </c>
      <c r="G21" s="2">
        <f t="shared" si="1"/>
        <v>2.6668854099611456</v>
      </c>
      <c r="H21" s="2">
        <f t="shared" si="0"/>
        <v>3.6798524077485855</v>
      </c>
      <c r="I21">
        <v>1.8599999999999994</v>
      </c>
      <c r="J21">
        <v>10.199999999999999</v>
      </c>
      <c r="K21">
        <v>8.5</v>
      </c>
      <c r="L21">
        <v>7.1</v>
      </c>
      <c r="M21" s="2">
        <v>-5.7340000000000002E-2</v>
      </c>
      <c r="N21" s="4">
        <f t="shared" si="2"/>
        <v>1.036752496910736</v>
      </c>
      <c r="O21" s="4">
        <v>5.7514000000000003</v>
      </c>
      <c r="P21" s="2">
        <v>7</v>
      </c>
      <c r="Q21">
        <v>7.5</v>
      </c>
      <c r="R21" s="4">
        <v>5.7514000000000003</v>
      </c>
    </row>
    <row r="22" spans="1:18" x14ac:dyDescent="0.25">
      <c r="A22" s="1">
        <v>36770</v>
      </c>
      <c r="B22">
        <v>2.7</v>
      </c>
      <c r="C22">
        <v>1.8</v>
      </c>
      <c r="D22">
        <v>1.6</v>
      </c>
      <c r="E22">
        <v>1.8</v>
      </c>
      <c r="F22">
        <v>2.0699999999999998</v>
      </c>
      <c r="G22" s="2">
        <f t="shared" si="1"/>
        <v>2.1840234784378847</v>
      </c>
      <c r="H22" s="2">
        <f t="shared" si="0"/>
        <v>3.6838249002268189</v>
      </c>
      <c r="I22">
        <v>2.2600000000000051</v>
      </c>
      <c r="J22">
        <v>11.2</v>
      </c>
      <c r="K22">
        <v>9.3000000000000007</v>
      </c>
      <c r="L22">
        <v>7.3</v>
      </c>
      <c r="M22" s="2">
        <v>-0.10033</v>
      </c>
      <c r="N22" s="4">
        <f t="shared" si="2"/>
        <v>1.0341519160731758</v>
      </c>
      <c r="O22" s="4">
        <v>5.7428999999999997</v>
      </c>
      <c r="P22" s="2">
        <v>6.9</v>
      </c>
      <c r="Q22">
        <v>7.5</v>
      </c>
      <c r="R22" s="4">
        <v>5.7428999999999997</v>
      </c>
    </row>
    <row r="23" spans="1:18" x14ac:dyDescent="0.25">
      <c r="A23" s="1">
        <v>36800</v>
      </c>
      <c r="B23">
        <v>2.8</v>
      </c>
      <c r="C23">
        <v>1.9</v>
      </c>
      <c r="D23">
        <v>1.7</v>
      </c>
      <c r="E23">
        <v>1.7</v>
      </c>
      <c r="F23">
        <v>2.09</v>
      </c>
      <c r="G23" s="2">
        <f t="shared" si="1"/>
        <v>2.1361433694593064</v>
      </c>
      <c r="H23" s="2">
        <f t="shared" si="0"/>
        <v>3.686396361186187</v>
      </c>
      <c r="I23">
        <v>1.0600000000000023</v>
      </c>
      <c r="J23">
        <v>11.7</v>
      </c>
      <c r="K23">
        <v>9.6</v>
      </c>
      <c r="L23">
        <v>7.3</v>
      </c>
      <c r="M23" s="2">
        <v>-0.13116</v>
      </c>
      <c r="N23" s="4">
        <f t="shared" si="2"/>
        <v>1.0317697417454332</v>
      </c>
      <c r="O23" s="4">
        <v>5.7514000000000003</v>
      </c>
      <c r="P23" s="2">
        <v>7</v>
      </c>
      <c r="Q23">
        <v>7.5</v>
      </c>
      <c r="R23" s="4">
        <v>5.7514000000000003</v>
      </c>
    </row>
    <row r="24" spans="1:18" x14ac:dyDescent="0.25">
      <c r="A24" s="1">
        <v>36831</v>
      </c>
      <c r="B24">
        <v>3.2</v>
      </c>
      <c r="C24">
        <v>2</v>
      </c>
      <c r="D24">
        <v>1.8</v>
      </c>
      <c r="E24">
        <v>1.9</v>
      </c>
      <c r="F24">
        <v>2</v>
      </c>
      <c r="G24" s="2">
        <f t="shared" si="1"/>
        <v>2.3040684012456829</v>
      </c>
      <c r="H24" s="2">
        <f t="shared" si="0"/>
        <v>3.6859428411444295</v>
      </c>
      <c r="I24">
        <v>-0.70000000000000284</v>
      </c>
      <c r="J24">
        <v>11.5</v>
      </c>
      <c r="K24">
        <v>9.6</v>
      </c>
      <c r="L24">
        <v>7.3</v>
      </c>
      <c r="M24" s="2">
        <v>-0.14756</v>
      </c>
      <c r="N24" s="4">
        <f t="shared" si="2"/>
        <v>1.0296649710303569</v>
      </c>
      <c r="O24" s="4">
        <v>5.75</v>
      </c>
      <c r="P24" s="2">
        <v>6.9</v>
      </c>
      <c r="Q24">
        <v>7.5</v>
      </c>
      <c r="R24" s="4">
        <v>5.75</v>
      </c>
    </row>
    <row r="25" spans="1:18" x14ac:dyDescent="0.25">
      <c r="A25" s="1">
        <v>36861</v>
      </c>
      <c r="B25">
        <v>3.2</v>
      </c>
      <c r="C25">
        <v>2.1</v>
      </c>
      <c r="D25">
        <v>1.9</v>
      </c>
      <c r="E25">
        <v>2</v>
      </c>
      <c r="F25">
        <v>2.14</v>
      </c>
      <c r="G25" s="2">
        <f t="shared" si="1"/>
        <v>2.000362279700445</v>
      </c>
      <c r="H25" s="2">
        <f t="shared" si="0"/>
        <v>3.6831518663167682</v>
      </c>
      <c r="I25">
        <v>0.20000000000000284</v>
      </c>
      <c r="J25">
        <v>12.1</v>
      </c>
      <c r="K25">
        <v>10.4</v>
      </c>
      <c r="L25">
        <v>7.8</v>
      </c>
      <c r="M25" s="2">
        <v>-0.15354000000000001</v>
      </c>
      <c r="N25" s="4">
        <f t="shared" si="2"/>
        <v>1.0280803304294612</v>
      </c>
      <c r="O25" s="4">
        <v>5.8</v>
      </c>
      <c r="P25" s="2">
        <v>6.8</v>
      </c>
      <c r="Q25">
        <v>7.5</v>
      </c>
      <c r="R25" s="4">
        <v>5.8</v>
      </c>
    </row>
    <row r="26" spans="1:18" x14ac:dyDescent="0.25">
      <c r="A26" s="1">
        <v>36892</v>
      </c>
      <c r="B26">
        <v>3</v>
      </c>
      <c r="C26">
        <v>2.2000000000000002</v>
      </c>
      <c r="D26">
        <v>2</v>
      </c>
      <c r="E26">
        <v>2.2000000000000002</v>
      </c>
      <c r="F26">
        <v>2.36</v>
      </c>
      <c r="G26" s="2">
        <f t="shared" si="1"/>
        <v>1.4908892254487949</v>
      </c>
      <c r="H26" s="2">
        <f t="shared" si="0"/>
        <v>3.6786186632733919</v>
      </c>
      <c r="I26">
        <v>1.4699999999999989</v>
      </c>
      <c r="J26">
        <v>11.3</v>
      </c>
      <c r="K26">
        <v>9.4</v>
      </c>
      <c r="L26">
        <v>7.8</v>
      </c>
      <c r="M26" s="2">
        <v>-0.15797</v>
      </c>
      <c r="N26" s="4">
        <f t="shared" si="2"/>
        <v>1.0269396698386268</v>
      </c>
      <c r="O26" s="4">
        <v>5.4913999999999996</v>
      </c>
      <c r="P26" s="2">
        <v>6.9</v>
      </c>
      <c r="Q26">
        <v>7.25</v>
      </c>
      <c r="R26" s="4">
        <v>5.4913999999999996</v>
      </c>
    </row>
    <row r="27" spans="1:18" x14ac:dyDescent="0.25">
      <c r="A27" s="1">
        <v>36923</v>
      </c>
      <c r="B27">
        <v>2.9</v>
      </c>
      <c r="C27">
        <v>2.2000000000000002</v>
      </c>
      <c r="D27">
        <v>2.1</v>
      </c>
      <c r="E27">
        <v>2.2000000000000002</v>
      </c>
      <c r="F27">
        <v>2.27</v>
      </c>
      <c r="G27" s="2">
        <f t="shared" si="1"/>
        <v>1.676340849403628</v>
      </c>
      <c r="H27" s="2">
        <f t="shared" si="0"/>
        <v>3.6781827278643622</v>
      </c>
      <c r="I27">
        <v>0.5</v>
      </c>
      <c r="J27">
        <v>10.1</v>
      </c>
      <c r="K27">
        <v>8.5</v>
      </c>
      <c r="L27">
        <v>7.9</v>
      </c>
      <c r="M27" s="2">
        <v>-0.16606000000000001</v>
      </c>
      <c r="N27" s="4">
        <f t="shared" si="2"/>
        <v>1.026395743365301</v>
      </c>
      <c r="O27" s="4">
        <v>5.49</v>
      </c>
      <c r="P27" s="2">
        <v>7</v>
      </c>
      <c r="Q27">
        <v>7.25</v>
      </c>
      <c r="R27" s="4">
        <v>5.49</v>
      </c>
    </row>
    <row r="28" spans="1:18" x14ac:dyDescent="0.25">
      <c r="A28" s="1">
        <v>36951</v>
      </c>
      <c r="B28">
        <v>2.4</v>
      </c>
      <c r="C28">
        <v>2.1</v>
      </c>
      <c r="D28">
        <v>2.1</v>
      </c>
      <c r="E28">
        <v>2.1</v>
      </c>
      <c r="F28">
        <v>2.34</v>
      </c>
      <c r="G28" s="2">
        <f t="shared" si="1"/>
        <v>1.4895018960495392</v>
      </c>
      <c r="H28" s="2">
        <f t="shared" si="0"/>
        <v>3.6815272947144742</v>
      </c>
      <c r="I28">
        <v>-1.2000000000000028</v>
      </c>
      <c r="J28">
        <v>9.3000000000000007</v>
      </c>
      <c r="K28">
        <v>7.6</v>
      </c>
      <c r="L28">
        <v>7.6</v>
      </c>
      <c r="M28" s="2">
        <v>-0.17885000000000001</v>
      </c>
      <c r="N28" s="4">
        <f t="shared" si="2"/>
        <v>1.0251660584221107</v>
      </c>
      <c r="O28" s="4">
        <v>4.9927000000000001</v>
      </c>
      <c r="P28" s="2">
        <v>7.1</v>
      </c>
      <c r="Q28">
        <v>6.75</v>
      </c>
      <c r="R28" s="4">
        <v>4.9927000000000001</v>
      </c>
    </row>
    <row r="29" spans="1:18" x14ac:dyDescent="0.25">
      <c r="A29" s="1">
        <v>36982</v>
      </c>
      <c r="B29">
        <v>3.5</v>
      </c>
      <c r="C29">
        <v>2.4</v>
      </c>
      <c r="D29">
        <v>2.2000000000000002</v>
      </c>
      <c r="E29">
        <v>2.4</v>
      </c>
      <c r="F29">
        <v>2.36</v>
      </c>
      <c r="G29" s="2">
        <f t="shared" si="1"/>
        <v>1.4130898334399005</v>
      </c>
      <c r="H29" s="2">
        <f t="shared" si="0"/>
        <v>3.6943560746966124</v>
      </c>
      <c r="I29">
        <v>-0.78000000000000114</v>
      </c>
      <c r="J29">
        <v>8.3000000000000007</v>
      </c>
      <c r="K29">
        <v>7</v>
      </c>
      <c r="L29">
        <v>7.1</v>
      </c>
      <c r="M29" s="2">
        <v>-0.19245000000000001</v>
      </c>
      <c r="N29" s="4">
        <f t="shared" si="2"/>
        <v>1.024289752226982</v>
      </c>
      <c r="O29" s="4">
        <v>4.7442000000000002</v>
      </c>
      <c r="P29" s="2">
        <v>7.1</v>
      </c>
      <c r="Q29">
        <v>6.5</v>
      </c>
      <c r="R29" s="4">
        <v>4.7442000000000002</v>
      </c>
    </row>
    <row r="30" spans="1:18" x14ac:dyDescent="0.25">
      <c r="A30" s="1">
        <v>37012</v>
      </c>
      <c r="B30">
        <v>3.9</v>
      </c>
      <c r="C30">
        <v>2.4</v>
      </c>
      <c r="D30">
        <v>2.2999999999999998</v>
      </c>
      <c r="E30">
        <v>2.4</v>
      </c>
      <c r="F30">
        <v>2.4500000000000002</v>
      </c>
      <c r="G30" s="2">
        <f t="shared" si="1"/>
        <v>1.1697808768198854</v>
      </c>
      <c r="H30" s="2">
        <f t="shared" si="0"/>
        <v>3.6900227432532642</v>
      </c>
      <c r="I30">
        <v>0.29000000000000625</v>
      </c>
      <c r="J30">
        <v>10.4</v>
      </c>
      <c r="K30">
        <v>8.8000000000000007</v>
      </c>
      <c r="L30">
        <v>7.4</v>
      </c>
      <c r="M30" s="2">
        <v>-0.20272000000000001</v>
      </c>
      <c r="N30" s="4">
        <f t="shared" si="2"/>
        <v>1.0231147324109542</v>
      </c>
      <c r="O30" s="4">
        <v>4.67</v>
      </c>
      <c r="P30" s="2">
        <v>7</v>
      </c>
      <c r="Q30">
        <v>6.25</v>
      </c>
      <c r="R30" s="4">
        <v>4.67</v>
      </c>
    </row>
    <row r="31" spans="1:18" x14ac:dyDescent="0.25">
      <c r="A31" s="1">
        <v>37043</v>
      </c>
      <c r="B31">
        <v>3.4</v>
      </c>
      <c r="C31">
        <v>2.4</v>
      </c>
      <c r="D31">
        <v>2.2000000000000002</v>
      </c>
      <c r="E31">
        <v>2.4</v>
      </c>
      <c r="F31">
        <v>2.36</v>
      </c>
      <c r="G31" s="2">
        <f t="shared" si="1"/>
        <v>1.3629227132418356</v>
      </c>
      <c r="H31" s="2">
        <f t="shared" si="0"/>
        <v>3.6949189634178037</v>
      </c>
      <c r="I31">
        <v>1.8499999999999943</v>
      </c>
      <c r="J31">
        <v>8.8000000000000007</v>
      </c>
      <c r="K31">
        <v>7.9</v>
      </c>
      <c r="L31">
        <v>6.9</v>
      </c>
      <c r="M31" s="2">
        <v>-0.20407</v>
      </c>
      <c r="N31" s="4">
        <f t="shared" si="2"/>
        <v>1.0214489364214137</v>
      </c>
      <c r="O31" s="4">
        <v>4.4935</v>
      </c>
      <c r="P31" s="2">
        <v>7.2</v>
      </c>
      <c r="Q31">
        <v>6.25</v>
      </c>
      <c r="R31" s="4">
        <v>4.4935</v>
      </c>
    </row>
    <row r="32" spans="1:18" x14ac:dyDescent="0.25">
      <c r="A32" s="1">
        <v>37073</v>
      </c>
      <c r="B32">
        <v>2.7</v>
      </c>
      <c r="C32">
        <v>2.4</v>
      </c>
      <c r="D32">
        <v>2.2999999999999998</v>
      </c>
      <c r="E32">
        <v>2.5</v>
      </c>
      <c r="F32">
        <v>2.2799999999999998</v>
      </c>
      <c r="G32" s="2">
        <f t="shared" si="1"/>
        <v>1.5469093401208873</v>
      </c>
      <c r="H32" s="2">
        <f t="shared" si="0"/>
        <v>3.6862591359177888</v>
      </c>
      <c r="I32">
        <v>1.5900000000000034</v>
      </c>
      <c r="J32">
        <v>8.9</v>
      </c>
      <c r="K32">
        <v>8.5</v>
      </c>
      <c r="L32">
        <v>6.9</v>
      </c>
      <c r="M32" s="2">
        <v>-0.18856000000000001</v>
      </c>
      <c r="N32" s="4">
        <f t="shared" si="2"/>
        <v>1.0200880235554606</v>
      </c>
      <c r="O32" s="4">
        <v>4.2413999999999996</v>
      </c>
      <c r="P32" s="2">
        <v>7.1</v>
      </c>
      <c r="Q32">
        <v>6</v>
      </c>
      <c r="R32" s="4">
        <v>4.2413999999999996</v>
      </c>
    </row>
    <row r="33" spans="1:18" x14ac:dyDescent="0.25">
      <c r="A33" s="1">
        <v>37104</v>
      </c>
      <c r="B33">
        <v>2.8</v>
      </c>
      <c r="C33">
        <v>2.4</v>
      </c>
      <c r="D33">
        <v>2.2999999999999998</v>
      </c>
      <c r="E33">
        <v>2.5</v>
      </c>
      <c r="F33">
        <v>1.99</v>
      </c>
      <c r="G33" s="2">
        <f t="shared" si="1"/>
        <v>2.2322571414006376</v>
      </c>
      <c r="H33" s="2">
        <f t="shared" si="0"/>
        <v>3.6880699562753847</v>
      </c>
      <c r="I33">
        <v>1.9999999999996021E-2</v>
      </c>
      <c r="J33">
        <v>8.9</v>
      </c>
      <c r="K33">
        <v>8.9</v>
      </c>
      <c r="L33">
        <v>6.8</v>
      </c>
      <c r="M33" s="2">
        <v>-0.15309</v>
      </c>
      <c r="N33" s="4">
        <f t="shared" si="2"/>
        <v>1.0184670506651359</v>
      </c>
      <c r="O33" s="4">
        <v>4.1679000000000004</v>
      </c>
      <c r="P33" s="2">
        <v>7.2</v>
      </c>
      <c r="Q33">
        <v>5.75</v>
      </c>
      <c r="R33" s="4">
        <v>4.1679000000000004</v>
      </c>
    </row>
    <row r="34" spans="1:18" x14ac:dyDescent="0.25">
      <c r="A34" s="1">
        <v>37135</v>
      </c>
      <c r="B34">
        <v>2.6</v>
      </c>
      <c r="C34">
        <v>2.2999999999999998</v>
      </c>
      <c r="D34">
        <v>2.2999999999999998</v>
      </c>
      <c r="E34">
        <v>2.5</v>
      </c>
      <c r="F34">
        <v>2.1800000000000002</v>
      </c>
      <c r="G34" s="2">
        <f t="shared" si="1"/>
        <v>1.7807889544037696</v>
      </c>
      <c r="H34" s="2">
        <f t="shared" si="0"/>
        <v>3.6771907283659804</v>
      </c>
      <c r="I34">
        <v>-1.7199999999999989</v>
      </c>
      <c r="J34">
        <v>10.3</v>
      </c>
      <c r="K34">
        <v>10.7</v>
      </c>
      <c r="L34">
        <v>7.3</v>
      </c>
      <c r="M34" s="2">
        <v>-0.10032000000000001</v>
      </c>
      <c r="N34" s="4">
        <f t="shared" si="2"/>
        <v>1.0173678705157947</v>
      </c>
      <c r="O34" s="4">
        <v>3.4857999999999998</v>
      </c>
      <c r="P34" s="2">
        <v>7.2</v>
      </c>
      <c r="Q34">
        <v>5.25</v>
      </c>
      <c r="R34" s="4">
        <v>3.4857999999999998</v>
      </c>
    </row>
    <row r="35" spans="1:18" x14ac:dyDescent="0.25">
      <c r="A35" s="1">
        <v>37165</v>
      </c>
      <c r="B35">
        <v>1.9</v>
      </c>
      <c r="C35">
        <v>2.2000000000000002</v>
      </c>
      <c r="D35">
        <v>2.2000000000000002</v>
      </c>
      <c r="E35">
        <v>2.5</v>
      </c>
      <c r="F35">
        <v>1.71</v>
      </c>
      <c r="G35" s="2">
        <f t="shared" si="1"/>
        <v>2.8943615608663853</v>
      </c>
      <c r="H35" s="2">
        <f t="shared" si="0"/>
        <v>3.6632480227937005</v>
      </c>
      <c r="I35">
        <v>-1.6599999999999966</v>
      </c>
      <c r="J35">
        <v>9.9</v>
      </c>
      <c r="K35">
        <v>11.2</v>
      </c>
      <c r="L35">
        <v>7.6</v>
      </c>
      <c r="M35" s="2">
        <v>-4.1070000000000002E-2</v>
      </c>
      <c r="N35" s="4">
        <f t="shared" si="2"/>
        <v>1.0162976131319139</v>
      </c>
      <c r="O35" s="4">
        <v>2.7412000000000001</v>
      </c>
      <c r="P35" s="2">
        <v>7.3</v>
      </c>
      <c r="Q35">
        <v>4.5</v>
      </c>
      <c r="R35" s="4">
        <v>2.7412000000000001</v>
      </c>
    </row>
    <row r="36" spans="1:18" x14ac:dyDescent="0.25">
      <c r="A36" s="1">
        <v>37196</v>
      </c>
      <c r="B36">
        <v>0.6</v>
      </c>
      <c r="C36">
        <v>1.9</v>
      </c>
      <c r="D36">
        <v>2</v>
      </c>
      <c r="E36">
        <v>2.2999999999999998</v>
      </c>
      <c r="F36">
        <v>1.91</v>
      </c>
      <c r="G36" s="2">
        <f t="shared" si="1"/>
        <v>2.4173898329746066</v>
      </c>
      <c r="H36" s="2">
        <f t="shared" si="0"/>
        <v>3.6588666740524989</v>
      </c>
      <c r="I36">
        <v>-2.9099999999999966</v>
      </c>
      <c r="J36">
        <v>11.3</v>
      </c>
      <c r="K36">
        <v>13.1</v>
      </c>
      <c r="L36">
        <v>8</v>
      </c>
      <c r="M36" s="2">
        <v>1.703E-2</v>
      </c>
      <c r="N36" s="4">
        <f t="shared" si="2"/>
        <v>1.0150460097040694</v>
      </c>
      <c r="O36" s="4">
        <v>2.5954999999999999</v>
      </c>
      <c r="P36" s="2">
        <v>7.5</v>
      </c>
      <c r="Q36">
        <v>4</v>
      </c>
      <c r="R36" s="4">
        <v>2.5954999999999999</v>
      </c>
    </row>
    <row r="37" spans="1:18" x14ac:dyDescent="0.25">
      <c r="A37" s="1">
        <v>37226</v>
      </c>
      <c r="B37">
        <v>0.7</v>
      </c>
      <c r="C37">
        <v>1.9</v>
      </c>
      <c r="D37">
        <v>2</v>
      </c>
      <c r="E37">
        <v>2.4</v>
      </c>
      <c r="F37">
        <v>1.93</v>
      </c>
      <c r="G37" s="2">
        <f t="shared" si="1"/>
        <v>2.3563437330379466</v>
      </c>
      <c r="H37" s="2">
        <f t="shared" si="0"/>
        <v>3.6511729761713934</v>
      </c>
      <c r="I37">
        <v>-1.9000000000000057</v>
      </c>
      <c r="J37">
        <v>11.6</v>
      </c>
      <c r="K37">
        <v>13.2</v>
      </c>
      <c r="L37">
        <v>7.7</v>
      </c>
      <c r="M37" s="2">
        <v>6.5409999999999996E-2</v>
      </c>
      <c r="N37" s="4">
        <f t="shared" si="2"/>
        <v>1.0140138605804638</v>
      </c>
      <c r="O37" s="4">
        <v>2.2444000000000002</v>
      </c>
      <c r="P37" s="2">
        <v>8.1</v>
      </c>
      <c r="Q37">
        <v>4</v>
      </c>
      <c r="R37" s="4">
        <v>2.2444000000000002</v>
      </c>
    </row>
    <row r="38" spans="1:18" x14ac:dyDescent="0.25">
      <c r="A38" s="1">
        <v>37257</v>
      </c>
      <c r="B38">
        <v>1.3</v>
      </c>
      <c r="C38">
        <v>2</v>
      </c>
      <c r="D38">
        <v>2.1</v>
      </c>
      <c r="E38">
        <v>2.2999999999999998</v>
      </c>
      <c r="F38">
        <v>1.95</v>
      </c>
      <c r="G38" s="2">
        <f t="shared" si="1"/>
        <v>2.2940776206997961</v>
      </c>
      <c r="H38" s="2">
        <f t="shared" si="0"/>
        <v>3.6407023748019949</v>
      </c>
      <c r="I38">
        <v>-2.8299999999999983</v>
      </c>
      <c r="J38">
        <v>12.7</v>
      </c>
      <c r="K38">
        <v>15.4</v>
      </c>
      <c r="L38">
        <v>7.6</v>
      </c>
      <c r="M38" s="2">
        <v>9.0490000000000001E-2</v>
      </c>
      <c r="N38" s="4">
        <f t="shared" si="2"/>
        <v>1.0127272598798907</v>
      </c>
      <c r="O38" s="4">
        <v>1.9923</v>
      </c>
      <c r="P38" s="2">
        <v>8</v>
      </c>
      <c r="Q38">
        <v>3.75</v>
      </c>
      <c r="R38" s="4">
        <v>1.9923</v>
      </c>
    </row>
    <row r="39" spans="1:18" x14ac:dyDescent="0.25">
      <c r="A39" s="1">
        <v>37288</v>
      </c>
      <c r="B39">
        <v>1.4</v>
      </c>
      <c r="C39">
        <v>2</v>
      </c>
      <c r="D39">
        <v>2</v>
      </c>
      <c r="E39">
        <v>2.2999999999999998</v>
      </c>
      <c r="F39">
        <v>1.96</v>
      </c>
      <c r="G39" s="2">
        <f t="shared" si="1"/>
        <v>2.2552694786795096</v>
      </c>
      <c r="H39" s="2">
        <f t="shared" si="0"/>
        <v>3.6202165209958999</v>
      </c>
      <c r="I39">
        <v>-2.3100000000000023</v>
      </c>
      <c r="J39">
        <v>11.8</v>
      </c>
      <c r="K39">
        <v>15.5</v>
      </c>
      <c r="L39">
        <v>7.4</v>
      </c>
      <c r="M39" s="2">
        <v>8.9819999999999997E-2</v>
      </c>
      <c r="N39" s="4">
        <f t="shared" si="2"/>
        <v>1.0102703758752942</v>
      </c>
      <c r="O39" s="4">
        <v>1.9925999999999999</v>
      </c>
      <c r="P39" s="2">
        <v>8</v>
      </c>
      <c r="Q39">
        <v>3.75</v>
      </c>
      <c r="R39" s="4">
        <v>1.9925999999999999</v>
      </c>
    </row>
    <row r="40" spans="1:18" x14ac:dyDescent="0.25">
      <c r="A40" s="1">
        <v>37316</v>
      </c>
      <c r="B40">
        <v>1.9</v>
      </c>
      <c r="C40">
        <v>2</v>
      </c>
      <c r="D40">
        <v>2</v>
      </c>
      <c r="E40">
        <v>2.4</v>
      </c>
      <c r="F40">
        <v>2.2999999999999998</v>
      </c>
      <c r="G40" s="2">
        <f t="shared" si="1"/>
        <v>1.3583546110221523</v>
      </c>
      <c r="H40" s="2">
        <f t="shared" si="0"/>
        <v>3.6065133127114279</v>
      </c>
      <c r="I40">
        <v>-2.1299999999999955</v>
      </c>
      <c r="J40">
        <v>11.5</v>
      </c>
      <c r="K40">
        <v>15.5</v>
      </c>
      <c r="L40">
        <v>7.1</v>
      </c>
      <c r="M40" s="2">
        <v>7.0330000000000004E-2</v>
      </c>
      <c r="N40" s="4">
        <f t="shared" si="2"/>
        <v>1.0095713576246164</v>
      </c>
      <c r="O40" s="4">
        <v>1.9933000000000001</v>
      </c>
      <c r="P40" s="2">
        <v>7.9</v>
      </c>
      <c r="Q40">
        <v>3.75</v>
      </c>
      <c r="R40" s="4">
        <v>1.9933000000000001</v>
      </c>
    </row>
    <row r="41" spans="1:18" x14ac:dyDescent="0.25">
      <c r="A41" s="1">
        <v>37347</v>
      </c>
      <c r="B41">
        <v>1.7</v>
      </c>
      <c r="C41">
        <v>2.1</v>
      </c>
      <c r="D41">
        <v>2</v>
      </c>
      <c r="E41">
        <v>2.4</v>
      </c>
      <c r="F41">
        <v>2.29</v>
      </c>
      <c r="G41" s="2">
        <f t="shared" si="1"/>
        <v>1.3090133894002189</v>
      </c>
      <c r="H41" s="2">
        <f t="shared" si="0"/>
        <v>3.5797144852019791</v>
      </c>
      <c r="I41">
        <v>-1.9300000000000068</v>
      </c>
      <c r="J41">
        <v>11.1</v>
      </c>
      <c r="K41">
        <v>15.6</v>
      </c>
      <c r="L41">
        <v>6.9</v>
      </c>
      <c r="M41" s="2">
        <v>4.8300000000000003E-2</v>
      </c>
      <c r="N41" s="4">
        <f t="shared" si="2"/>
        <v>1.0085731396172257</v>
      </c>
      <c r="O41" s="4">
        <v>2.2440000000000002</v>
      </c>
      <c r="P41" s="2">
        <v>7.7</v>
      </c>
      <c r="Q41">
        <v>4</v>
      </c>
      <c r="R41" s="4">
        <v>2.2440000000000002</v>
      </c>
    </row>
    <row r="42" spans="1:18" x14ac:dyDescent="0.25">
      <c r="A42" s="1">
        <v>37377</v>
      </c>
      <c r="B42">
        <v>1.1000000000000001</v>
      </c>
      <c r="C42">
        <v>2</v>
      </c>
      <c r="D42">
        <v>2</v>
      </c>
      <c r="E42">
        <v>2.2999999999999998</v>
      </c>
      <c r="F42">
        <v>2.2400000000000002</v>
      </c>
      <c r="G42" s="2">
        <f t="shared" si="1"/>
        <v>1.3418357897860558</v>
      </c>
      <c r="H42" s="2">
        <f t="shared" si="0"/>
        <v>3.5713799242588529</v>
      </c>
      <c r="I42">
        <v>-0.46999999999999886</v>
      </c>
      <c r="J42">
        <v>9.3000000000000007</v>
      </c>
      <c r="K42">
        <v>14</v>
      </c>
      <c r="L42">
        <v>6.4</v>
      </c>
      <c r="M42" s="2">
        <v>3.141E-2</v>
      </c>
      <c r="N42" s="4">
        <f t="shared" si="2"/>
        <v>1.0075385552902305</v>
      </c>
      <c r="O42" s="4">
        <v>2.2471000000000001</v>
      </c>
      <c r="P42" s="2">
        <v>7.8</v>
      </c>
      <c r="Q42">
        <v>4</v>
      </c>
      <c r="R42" s="4">
        <v>2.2471000000000001</v>
      </c>
    </row>
    <row r="43" spans="1:18" x14ac:dyDescent="0.25">
      <c r="A43" s="1">
        <v>37408</v>
      </c>
      <c r="B43">
        <v>1.2</v>
      </c>
      <c r="C43">
        <v>2</v>
      </c>
      <c r="D43">
        <v>2.1</v>
      </c>
      <c r="E43">
        <v>2.2999999999999998</v>
      </c>
      <c r="F43">
        <v>2.3199999999999998</v>
      </c>
      <c r="G43" s="2">
        <f t="shared" si="1"/>
        <v>1.0494946305238351</v>
      </c>
      <c r="H43" s="2">
        <f t="shared" si="0"/>
        <v>3.5482457642276337</v>
      </c>
      <c r="I43">
        <v>9.0000000000003411E-2</v>
      </c>
      <c r="J43">
        <v>10.6</v>
      </c>
      <c r="K43">
        <v>15.1</v>
      </c>
      <c r="L43">
        <v>6.7</v>
      </c>
      <c r="M43" s="2">
        <v>2.0389999999999998E-2</v>
      </c>
      <c r="N43" s="4">
        <f t="shared" si="2"/>
        <v>1.0066160024813944</v>
      </c>
      <c r="O43" s="4">
        <v>2.4964</v>
      </c>
      <c r="P43" s="2">
        <v>7.6</v>
      </c>
      <c r="Q43">
        <v>4.25</v>
      </c>
      <c r="R43" s="4">
        <v>2.4964</v>
      </c>
    </row>
    <row r="44" spans="1:18" x14ac:dyDescent="0.25">
      <c r="A44" s="1">
        <v>37438</v>
      </c>
      <c r="B44">
        <v>2.1</v>
      </c>
      <c r="C44">
        <v>1.9</v>
      </c>
      <c r="D44">
        <v>2</v>
      </c>
      <c r="E44">
        <v>2.2999999999999998</v>
      </c>
      <c r="F44">
        <v>2.2799999999999998</v>
      </c>
      <c r="G44" s="2">
        <f t="shared" si="1"/>
        <v>1.1012551916740714</v>
      </c>
      <c r="H44" s="2">
        <f t="shared" si="0"/>
        <v>3.5390179294089243</v>
      </c>
      <c r="I44">
        <v>-1.7000000000000028</v>
      </c>
      <c r="J44">
        <v>10.3</v>
      </c>
      <c r="K44">
        <v>14.7</v>
      </c>
      <c r="L44">
        <v>6.5</v>
      </c>
      <c r="M44" s="2">
        <v>1.0359999999999999E-2</v>
      </c>
      <c r="N44" s="4">
        <f t="shared" si="2"/>
        <v>1.0058140899864414</v>
      </c>
      <c r="O44" s="4">
        <v>2.7418</v>
      </c>
      <c r="P44" s="2">
        <v>7.6</v>
      </c>
      <c r="Q44">
        <v>4.5</v>
      </c>
      <c r="R44" s="4">
        <v>2.7418</v>
      </c>
    </row>
    <row r="45" spans="1:18" x14ac:dyDescent="0.25">
      <c r="A45" s="1">
        <v>37469</v>
      </c>
      <c r="B45">
        <v>2.5</v>
      </c>
      <c r="C45">
        <v>2.1</v>
      </c>
      <c r="D45">
        <v>2.2000000000000002</v>
      </c>
      <c r="E45">
        <v>2.4</v>
      </c>
      <c r="F45">
        <v>2.1800000000000002</v>
      </c>
      <c r="G45" s="2">
        <f t="shared" si="1"/>
        <v>1.3361689108586994</v>
      </c>
      <c r="H45" s="2">
        <f t="shared" si="0"/>
        <v>3.5216332515593756</v>
      </c>
      <c r="I45">
        <v>-2.5900000000000034</v>
      </c>
      <c r="J45">
        <v>11</v>
      </c>
      <c r="K45">
        <v>15</v>
      </c>
      <c r="L45">
        <v>6.5</v>
      </c>
      <c r="M45" s="2">
        <v>-2.0400000000000001E-3</v>
      </c>
      <c r="N45" s="4">
        <f t="shared" si="2"/>
        <v>1.0047494388572455</v>
      </c>
      <c r="O45" s="4">
        <v>2.7448000000000001</v>
      </c>
      <c r="P45" s="2">
        <v>7.4</v>
      </c>
      <c r="Q45">
        <v>4.5</v>
      </c>
      <c r="R45" s="4">
        <v>2.7448000000000001</v>
      </c>
    </row>
    <row r="46" spans="1:18" x14ac:dyDescent="0.25">
      <c r="A46" s="1">
        <v>37500</v>
      </c>
      <c r="B46">
        <v>2.2999999999999998</v>
      </c>
      <c r="C46">
        <v>2.1</v>
      </c>
      <c r="D46">
        <v>2.2000000000000002</v>
      </c>
      <c r="E46">
        <v>2.2000000000000002</v>
      </c>
      <c r="F46">
        <v>2.1800000000000002</v>
      </c>
      <c r="G46" s="2">
        <f t="shared" si="1"/>
        <v>1.320097362667795</v>
      </c>
      <c r="H46" s="2">
        <f t="shared" si="0"/>
        <v>3.5154099356631665</v>
      </c>
      <c r="I46">
        <v>-2.7600000000000051</v>
      </c>
      <c r="J46">
        <v>9</v>
      </c>
      <c r="K46">
        <v>12.6</v>
      </c>
      <c r="L46">
        <v>5.8</v>
      </c>
      <c r="M46" s="2">
        <v>-1.7940000000000001E-2</v>
      </c>
      <c r="N46" s="4">
        <f t="shared" si="2"/>
        <v>1.0033948714958327</v>
      </c>
      <c r="O46" s="4">
        <v>2.7446999999999999</v>
      </c>
      <c r="P46" s="2">
        <v>7.5</v>
      </c>
      <c r="Q46">
        <v>4.5</v>
      </c>
      <c r="R46" s="4">
        <v>2.7446999999999999</v>
      </c>
    </row>
    <row r="47" spans="1:18" x14ac:dyDescent="0.25">
      <c r="A47" s="1">
        <v>37530</v>
      </c>
      <c r="B47">
        <v>3.2</v>
      </c>
      <c r="C47">
        <v>2.1</v>
      </c>
      <c r="D47">
        <v>2.1</v>
      </c>
      <c r="E47">
        <v>2.2000000000000002</v>
      </c>
      <c r="F47">
        <v>2.1800000000000002</v>
      </c>
      <c r="G47" s="2">
        <f t="shared" si="1"/>
        <v>1.3331335646886187</v>
      </c>
      <c r="H47" s="2">
        <f t="shared" si="0"/>
        <v>3.5114500509769453</v>
      </c>
      <c r="I47">
        <v>-2.4500000000000028</v>
      </c>
      <c r="J47">
        <v>9.1999999999999993</v>
      </c>
      <c r="K47">
        <v>12.2</v>
      </c>
      <c r="L47">
        <v>5.5</v>
      </c>
      <c r="M47" s="2">
        <v>-3.5189999999999999E-2</v>
      </c>
      <c r="N47" s="4">
        <f t="shared" si="2"/>
        <v>1.0025728298980574</v>
      </c>
      <c r="O47" s="4">
        <v>2.7448999999999999</v>
      </c>
      <c r="P47" s="2">
        <v>7.6</v>
      </c>
      <c r="Q47">
        <v>4.5</v>
      </c>
      <c r="R47" s="4">
        <v>2.7448999999999999</v>
      </c>
    </row>
    <row r="48" spans="1:18" x14ac:dyDescent="0.25">
      <c r="A48" s="1">
        <v>37561</v>
      </c>
      <c r="B48">
        <v>4.4000000000000004</v>
      </c>
      <c r="C48">
        <v>2.2999999999999998</v>
      </c>
      <c r="D48">
        <v>2.2000000000000002</v>
      </c>
      <c r="E48">
        <v>2.5</v>
      </c>
      <c r="F48">
        <v>2.15</v>
      </c>
      <c r="G48" s="2">
        <f t="shared" si="1"/>
        <v>1.4205312226672806</v>
      </c>
      <c r="H48" s="2">
        <f t="shared" si="0"/>
        <v>3.483746053198006</v>
      </c>
      <c r="I48">
        <v>-2.5799999999999983</v>
      </c>
      <c r="J48">
        <v>7.3</v>
      </c>
      <c r="K48">
        <v>10.1</v>
      </c>
      <c r="L48">
        <v>4.8</v>
      </c>
      <c r="M48" s="2">
        <v>-5.4089999999999999E-2</v>
      </c>
      <c r="N48" s="4">
        <f t="shared" si="2"/>
        <v>1.0018652285757783</v>
      </c>
      <c r="O48" s="4">
        <v>2.7431000000000001</v>
      </c>
      <c r="P48" s="2">
        <v>7.4</v>
      </c>
      <c r="Q48">
        <v>4.5</v>
      </c>
      <c r="R48" s="4">
        <v>2.7431000000000001</v>
      </c>
    </row>
    <row r="49" spans="1:18" x14ac:dyDescent="0.25">
      <c r="A49" s="1">
        <v>37591</v>
      </c>
      <c r="B49">
        <v>3.8</v>
      </c>
      <c r="C49">
        <v>2.2000000000000002</v>
      </c>
      <c r="D49">
        <v>2.2000000000000002</v>
      </c>
      <c r="E49">
        <v>2.2999999999999998</v>
      </c>
      <c r="F49">
        <v>2.09</v>
      </c>
      <c r="G49" s="2">
        <f t="shared" si="1"/>
        <v>1.599190534426465</v>
      </c>
      <c r="H49" s="2">
        <f t="shared" si="0"/>
        <v>3.4723279002333207</v>
      </c>
      <c r="I49">
        <v>-2.0300000000000011</v>
      </c>
      <c r="J49">
        <v>5</v>
      </c>
      <c r="K49">
        <v>8</v>
      </c>
      <c r="L49">
        <v>4.0999999999999996</v>
      </c>
      <c r="M49" s="2">
        <v>-7.6060000000000003E-2</v>
      </c>
      <c r="N49" s="4">
        <f t="shared" si="2"/>
        <v>1.0014237646240305</v>
      </c>
      <c r="O49" s="4">
        <v>2.7439</v>
      </c>
      <c r="P49" s="2">
        <v>7.5</v>
      </c>
      <c r="Q49">
        <v>4.5</v>
      </c>
      <c r="R49" s="4">
        <v>2.7439</v>
      </c>
    </row>
    <row r="50" spans="1:18" x14ac:dyDescent="0.25">
      <c r="A50" s="1">
        <v>37622</v>
      </c>
      <c r="B50">
        <v>4.5</v>
      </c>
      <c r="C50">
        <v>2.2000000000000002</v>
      </c>
      <c r="D50">
        <v>2.2000000000000002</v>
      </c>
      <c r="E50">
        <v>2.6</v>
      </c>
      <c r="F50">
        <v>2.27</v>
      </c>
      <c r="G50" s="2">
        <f t="shared" si="1"/>
        <v>1.014604805066134</v>
      </c>
      <c r="H50" s="2">
        <f t="shared" si="0"/>
        <v>3.4572548524428406</v>
      </c>
      <c r="I50">
        <v>-1.6700000000000017</v>
      </c>
      <c r="J50">
        <v>4.4000000000000004</v>
      </c>
      <c r="K50">
        <v>7.1</v>
      </c>
      <c r="L50">
        <v>3.7</v>
      </c>
      <c r="M50" s="2">
        <v>-0.10213</v>
      </c>
      <c r="N50" s="4">
        <f t="shared" si="2"/>
        <v>1.0007282778982236</v>
      </c>
      <c r="O50" s="4">
        <v>2.7439</v>
      </c>
      <c r="P50" s="2">
        <v>7.5</v>
      </c>
      <c r="Q50">
        <v>4.5</v>
      </c>
      <c r="R50" s="4">
        <v>2.7439</v>
      </c>
    </row>
    <row r="51" spans="1:18" x14ac:dyDescent="0.25">
      <c r="A51" s="1">
        <v>37653</v>
      </c>
      <c r="B51">
        <v>4.7</v>
      </c>
      <c r="C51">
        <v>2.2999999999999998</v>
      </c>
      <c r="D51">
        <v>2.4</v>
      </c>
      <c r="E51">
        <v>2.5</v>
      </c>
      <c r="F51">
        <v>2.4</v>
      </c>
      <c r="G51" s="2">
        <f t="shared" si="1"/>
        <v>0.56323271224723825</v>
      </c>
      <c r="H51" s="2">
        <f t="shared" si="0"/>
        <v>3.4466762010742986</v>
      </c>
      <c r="I51">
        <v>0.31000000000000227</v>
      </c>
      <c r="J51">
        <v>3.7</v>
      </c>
      <c r="K51">
        <v>6.1</v>
      </c>
      <c r="L51">
        <v>3.4</v>
      </c>
      <c r="M51" s="2">
        <v>-0.13117000000000001</v>
      </c>
      <c r="N51" s="4">
        <f t="shared" si="2"/>
        <v>0.99989384132662185</v>
      </c>
      <c r="O51" s="4">
        <v>2.7469000000000001</v>
      </c>
      <c r="P51" s="2">
        <v>7.5</v>
      </c>
      <c r="Q51">
        <v>4.5</v>
      </c>
      <c r="R51" s="4">
        <v>2.7469000000000001</v>
      </c>
    </row>
    <row r="52" spans="1:18" x14ac:dyDescent="0.25">
      <c r="A52" s="1">
        <v>37681</v>
      </c>
      <c r="B52">
        <v>4.2</v>
      </c>
      <c r="C52">
        <v>2.2000000000000002</v>
      </c>
      <c r="D52">
        <v>2.4</v>
      </c>
      <c r="E52">
        <v>2.4</v>
      </c>
      <c r="F52">
        <v>2.5</v>
      </c>
      <c r="G52" s="2">
        <f t="shared" si="1"/>
        <v>0.18992075002429765</v>
      </c>
      <c r="H52" s="2">
        <f t="shared" si="0"/>
        <v>3.4259687589430907</v>
      </c>
      <c r="I52">
        <v>2.769999999999996</v>
      </c>
      <c r="J52">
        <v>3.2</v>
      </c>
      <c r="K52">
        <v>5.4</v>
      </c>
      <c r="L52">
        <v>3.1</v>
      </c>
      <c r="M52" s="2">
        <v>-0.15790999999999999</v>
      </c>
      <c r="N52" s="4">
        <f t="shared" si="2"/>
        <v>0.99935329019330477</v>
      </c>
      <c r="O52" s="4">
        <v>2.992</v>
      </c>
      <c r="P52" s="2">
        <v>7.4</v>
      </c>
      <c r="Q52">
        <v>4.75</v>
      </c>
      <c r="R52" s="4">
        <v>2.992</v>
      </c>
    </row>
    <row r="53" spans="1:18" x14ac:dyDescent="0.25">
      <c r="A53" s="1">
        <v>37712</v>
      </c>
      <c r="B53">
        <v>2.9</v>
      </c>
      <c r="C53">
        <v>2</v>
      </c>
      <c r="D53">
        <v>2.2000000000000002</v>
      </c>
      <c r="E53">
        <v>2</v>
      </c>
      <c r="F53">
        <v>2.2799999999999998</v>
      </c>
      <c r="G53" s="2">
        <f t="shared" si="1"/>
        <v>0.85795248692488801</v>
      </c>
      <c r="H53" s="2">
        <f t="shared" si="0"/>
        <v>3.4057733073336465</v>
      </c>
      <c r="I53">
        <v>3.6200000000000045</v>
      </c>
      <c r="J53">
        <v>2.6</v>
      </c>
      <c r="K53">
        <v>4.8</v>
      </c>
      <c r="L53">
        <v>2.9</v>
      </c>
      <c r="M53" s="2">
        <v>-0.17083000000000001</v>
      </c>
      <c r="N53" s="4">
        <f t="shared" si="2"/>
        <v>0.99861095010401535</v>
      </c>
      <c r="O53" s="4">
        <v>3.2372999999999998</v>
      </c>
      <c r="P53" s="2">
        <v>7.6</v>
      </c>
      <c r="Q53">
        <v>5</v>
      </c>
      <c r="R53" s="4">
        <v>3.2372999999999998</v>
      </c>
    </row>
    <row r="54" spans="1:18" x14ac:dyDescent="0.25">
      <c r="A54" s="1">
        <v>37742</v>
      </c>
      <c r="B54">
        <v>2.8</v>
      </c>
      <c r="C54">
        <v>2</v>
      </c>
      <c r="D54">
        <v>2.2000000000000002</v>
      </c>
      <c r="E54">
        <v>2</v>
      </c>
      <c r="F54">
        <v>2.12</v>
      </c>
      <c r="G54" s="2">
        <f t="shared" si="1"/>
        <v>1.3674526631508197</v>
      </c>
      <c r="H54" s="2">
        <f t="shared" si="0"/>
        <v>3.390611790740973</v>
      </c>
      <c r="I54">
        <v>7.5300000000000011</v>
      </c>
      <c r="J54">
        <v>3.3</v>
      </c>
      <c r="K54">
        <v>5.0999999999999996</v>
      </c>
      <c r="L54">
        <v>3</v>
      </c>
      <c r="M54" s="2">
        <v>-0.16556000000000001</v>
      </c>
      <c r="N54" s="4">
        <f t="shared" si="2"/>
        <v>0.99831275426924349</v>
      </c>
      <c r="O54" s="4">
        <v>3.2416</v>
      </c>
      <c r="P54" s="2">
        <v>7.8</v>
      </c>
      <c r="Q54">
        <v>5</v>
      </c>
      <c r="R54" s="4">
        <v>3.2416</v>
      </c>
    </row>
    <row r="55" spans="1:18" x14ac:dyDescent="0.25">
      <c r="A55" s="1">
        <v>37773</v>
      </c>
      <c r="B55">
        <v>2.6</v>
      </c>
      <c r="C55">
        <v>1.9</v>
      </c>
      <c r="D55">
        <v>2</v>
      </c>
      <c r="E55">
        <v>1.9</v>
      </c>
      <c r="F55">
        <v>2.04</v>
      </c>
      <c r="G55" s="2">
        <f t="shared" si="1"/>
        <v>1.6256958685091583</v>
      </c>
      <c r="H55" s="2">
        <f t="shared" si="0"/>
        <v>3.3752818961519164</v>
      </c>
      <c r="I55">
        <v>10</v>
      </c>
      <c r="J55">
        <v>3.3</v>
      </c>
      <c r="K55">
        <v>5.3</v>
      </c>
      <c r="L55">
        <v>3.1</v>
      </c>
      <c r="M55" s="2">
        <v>-0.14394000000000001</v>
      </c>
      <c r="N55" s="4">
        <f t="shared" si="2"/>
        <v>0.99796479166044982</v>
      </c>
      <c r="O55" s="4">
        <v>3.2448999999999999</v>
      </c>
      <c r="P55" s="2">
        <v>7.6</v>
      </c>
      <c r="Q55">
        <v>5</v>
      </c>
      <c r="R55" s="4">
        <v>3.2448999999999999</v>
      </c>
    </row>
    <row r="56" spans="1:18" x14ac:dyDescent="0.25">
      <c r="A56" s="1">
        <v>37803</v>
      </c>
      <c r="B56">
        <v>2.1</v>
      </c>
      <c r="C56">
        <v>1.9</v>
      </c>
      <c r="D56">
        <v>2.1</v>
      </c>
      <c r="E56">
        <v>1.9</v>
      </c>
      <c r="F56">
        <v>2.25</v>
      </c>
      <c r="G56" s="2">
        <v>4.5999999999999996</v>
      </c>
      <c r="H56" s="2">
        <f t="shared" si="0"/>
        <v>3.3625855469222561</v>
      </c>
      <c r="I56">
        <v>8.14</v>
      </c>
      <c r="J56">
        <v>4.5</v>
      </c>
      <c r="K56">
        <v>6.3</v>
      </c>
      <c r="L56">
        <v>3.4</v>
      </c>
      <c r="M56" s="2">
        <v>-0.11423</v>
      </c>
      <c r="N56" s="4">
        <f t="shared" si="2"/>
        <v>0.99745621833927456</v>
      </c>
      <c r="O56" s="4">
        <v>2.9946999999999999</v>
      </c>
      <c r="P56" s="2">
        <v>7.7</v>
      </c>
      <c r="Q56">
        <v>4.75</v>
      </c>
      <c r="R56" s="4">
        <v>2.9946999999999999</v>
      </c>
    </row>
    <row r="57" spans="1:18" x14ac:dyDescent="0.25">
      <c r="A57" s="1">
        <v>37834</v>
      </c>
      <c r="B57">
        <v>2</v>
      </c>
      <c r="C57">
        <v>1.7</v>
      </c>
      <c r="D57">
        <v>1.9</v>
      </c>
      <c r="E57">
        <v>1.9</v>
      </c>
      <c r="F57">
        <v>2.29</v>
      </c>
      <c r="G57" s="2">
        <v>4.7</v>
      </c>
      <c r="H57" s="2">
        <f t="shared" si="0"/>
        <v>3.3430475573148453</v>
      </c>
      <c r="I57">
        <v>7.6400000000000006</v>
      </c>
      <c r="J57">
        <v>4.4000000000000004</v>
      </c>
      <c r="K57">
        <v>6.4</v>
      </c>
      <c r="L57">
        <v>3.5</v>
      </c>
      <c r="M57" s="2">
        <v>-8.1049999999999997E-2</v>
      </c>
      <c r="N57" s="4">
        <f t="shared" si="2"/>
        <v>0.9965955172685228</v>
      </c>
      <c r="O57" s="4">
        <v>2.9971999999999999</v>
      </c>
      <c r="P57" s="2">
        <v>7.8</v>
      </c>
      <c r="Q57">
        <v>4.75</v>
      </c>
      <c r="R57" s="4">
        <v>2.9971999999999999</v>
      </c>
    </row>
    <row r="58" spans="1:18" x14ac:dyDescent="0.25">
      <c r="A58" s="1">
        <v>37865</v>
      </c>
      <c r="B58">
        <v>2.2000000000000002</v>
      </c>
      <c r="C58">
        <v>1.8</v>
      </c>
      <c r="D58">
        <v>1.9</v>
      </c>
      <c r="E58">
        <v>2</v>
      </c>
      <c r="F58">
        <v>2.15</v>
      </c>
      <c r="G58" s="2">
        <v>4.5999999999999996</v>
      </c>
      <c r="H58" s="2">
        <f t="shared" si="0"/>
        <v>3.329320146942198</v>
      </c>
      <c r="I58">
        <v>9.6700000000000017</v>
      </c>
      <c r="J58">
        <v>4.3</v>
      </c>
      <c r="K58">
        <v>6.8</v>
      </c>
      <c r="L58">
        <v>3.5</v>
      </c>
      <c r="M58" s="2">
        <v>-4.7460000000000002E-2</v>
      </c>
      <c r="N58" s="4">
        <f t="shared" si="2"/>
        <v>0.9960112329862657</v>
      </c>
      <c r="O58" s="4">
        <v>2.7490000000000001</v>
      </c>
      <c r="P58" s="2">
        <v>7.8</v>
      </c>
      <c r="Q58">
        <v>4.5</v>
      </c>
      <c r="R58" s="4">
        <v>2.7490000000000001</v>
      </c>
    </row>
    <row r="59" spans="1:18" x14ac:dyDescent="0.25">
      <c r="A59" s="1">
        <v>37895</v>
      </c>
      <c r="B59">
        <v>1.6</v>
      </c>
      <c r="C59">
        <v>1.7</v>
      </c>
      <c r="D59">
        <v>1.9</v>
      </c>
      <c r="E59">
        <v>2</v>
      </c>
      <c r="F59">
        <v>2.38</v>
      </c>
      <c r="G59" s="2">
        <v>4.3</v>
      </c>
      <c r="H59" s="2">
        <f t="shared" si="0"/>
        <v>3.3060773326488651</v>
      </c>
      <c r="I59">
        <v>12.030000000000001</v>
      </c>
      <c r="J59">
        <v>3.3</v>
      </c>
      <c r="K59">
        <v>6</v>
      </c>
      <c r="L59">
        <v>3.2</v>
      </c>
      <c r="M59" s="2">
        <v>-1.7219999999999999E-2</v>
      </c>
      <c r="N59" s="4">
        <f t="shared" si="2"/>
        <v>0.99499327733595777</v>
      </c>
      <c r="O59" s="4">
        <v>2.7492000000000001</v>
      </c>
      <c r="P59" s="2">
        <v>7.6</v>
      </c>
      <c r="Q59">
        <v>4.5</v>
      </c>
      <c r="R59" s="4">
        <v>2.7492000000000001</v>
      </c>
    </row>
    <row r="60" spans="1:18" x14ac:dyDescent="0.25">
      <c r="A60" s="1">
        <v>37926</v>
      </c>
      <c r="B60">
        <v>1.6</v>
      </c>
      <c r="C60">
        <v>1.7</v>
      </c>
      <c r="D60">
        <v>1.9</v>
      </c>
      <c r="E60">
        <v>1.8</v>
      </c>
      <c r="F60">
        <v>2.38</v>
      </c>
      <c r="G60" s="2">
        <v>4.8</v>
      </c>
      <c r="H60" s="2">
        <f t="shared" si="0"/>
        <v>3.2951171045662981</v>
      </c>
      <c r="I60">
        <v>12.799999999999997</v>
      </c>
      <c r="J60">
        <v>3.9</v>
      </c>
      <c r="K60">
        <v>6.5</v>
      </c>
      <c r="L60">
        <v>3.5</v>
      </c>
      <c r="M60" s="2">
        <v>9.8799999999999999E-3</v>
      </c>
      <c r="N60" s="4">
        <f t="shared" si="2"/>
        <v>0.99486966744826566</v>
      </c>
      <c r="O60" s="4">
        <v>2.7481</v>
      </c>
      <c r="P60" s="2">
        <v>7.4</v>
      </c>
      <c r="Q60">
        <v>4.5</v>
      </c>
      <c r="R60" s="4">
        <v>2.7481</v>
      </c>
    </row>
    <row r="61" spans="1:18" x14ac:dyDescent="0.25">
      <c r="A61" s="1">
        <v>37956</v>
      </c>
      <c r="B61">
        <v>2.1</v>
      </c>
      <c r="C61">
        <v>1.7</v>
      </c>
      <c r="D61">
        <v>1.9</v>
      </c>
      <c r="E61">
        <v>2</v>
      </c>
      <c r="F61">
        <v>2.41</v>
      </c>
      <c r="G61" s="2">
        <v>4.0999999999999996</v>
      </c>
      <c r="H61" s="2">
        <f t="shared" si="0"/>
        <v>3.2734462297044473</v>
      </c>
      <c r="I61">
        <v>11.86</v>
      </c>
      <c r="J61">
        <v>5</v>
      </c>
      <c r="K61">
        <v>7.6</v>
      </c>
      <c r="L61">
        <v>3.9</v>
      </c>
      <c r="M61" s="2">
        <v>3.5889999999999998E-2</v>
      </c>
      <c r="N61" s="4">
        <f t="shared" si="2"/>
        <v>0.99408054268580048</v>
      </c>
      <c r="O61" s="4">
        <v>2.7481</v>
      </c>
      <c r="P61" s="2">
        <v>7.3</v>
      </c>
      <c r="Q61">
        <v>4.5</v>
      </c>
      <c r="R61" s="4">
        <v>2.7481</v>
      </c>
    </row>
    <row r="62" spans="1:18" x14ac:dyDescent="0.25">
      <c r="A62" s="1">
        <v>37987</v>
      </c>
      <c r="B62">
        <v>1.3</v>
      </c>
      <c r="C62">
        <v>1.7</v>
      </c>
      <c r="D62">
        <v>1.8</v>
      </c>
      <c r="E62">
        <v>1.6</v>
      </c>
      <c r="F62">
        <v>2.66</v>
      </c>
      <c r="G62" s="2">
        <v>3.7</v>
      </c>
      <c r="H62" s="2">
        <f t="shared" si="0"/>
        <v>3.2563279072528015</v>
      </c>
      <c r="I62">
        <v>12.370000000000005</v>
      </c>
      <c r="J62">
        <v>6</v>
      </c>
      <c r="K62">
        <v>8.3000000000000007</v>
      </c>
      <c r="L62">
        <v>4.2</v>
      </c>
      <c r="M62" s="2">
        <v>6.2820000000000001E-2</v>
      </c>
      <c r="N62" s="4">
        <f t="shared" si="2"/>
        <v>0.9936043851273948</v>
      </c>
      <c r="O62" s="4">
        <v>2.4950999999999999</v>
      </c>
      <c r="P62" s="2">
        <v>7.3</v>
      </c>
      <c r="Q62">
        <v>4.25</v>
      </c>
      <c r="R62" s="4">
        <v>2.4950999999999999</v>
      </c>
    </row>
    <row r="63" spans="1:18" x14ac:dyDescent="0.25">
      <c r="A63" s="1">
        <v>38018</v>
      </c>
      <c r="B63">
        <v>0.7</v>
      </c>
      <c r="C63">
        <v>1.6</v>
      </c>
      <c r="D63">
        <v>1.6</v>
      </c>
      <c r="E63">
        <v>1.6</v>
      </c>
      <c r="F63">
        <v>2.5299999999999998</v>
      </c>
      <c r="G63" s="2">
        <v>3.9</v>
      </c>
      <c r="H63" s="2">
        <f t="shared" si="0"/>
        <v>3.2361777016054578</v>
      </c>
      <c r="I63">
        <v>9.5999999999999943</v>
      </c>
      <c r="J63">
        <v>7.3</v>
      </c>
      <c r="K63">
        <v>9.4</v>
      </c>
      <c r="L63">
        <v>4.5</v>
      </c>
      <c r="M63" s="2">
        <v>9.1609999999999997E-2</v>
      </c>
      <c r="N63" s="4">
        <f t="shared" si="2"/>
        <v>0.99281024503340631</v>
      </c>
      <c r="O63" s="4">
        <v>2.4952999999999999</v>
      </c>
      <c r="P63" s="2">
        <v>7.3</v>
      </c>
      <c r="Q63">
        <v>4.25</v>
      </c>
      <c r="R63" s="4">
        <v>2.4952999999999999</v>
      </c>
    </row>
    <row r="64" spans="1:18" x14ac:dyDescent="0.25">
      <c r="A64" s="1">
        <v>38047</v>
      </c>
      <c r="B64">
        <v>0.8</v>
      </c>
      <c r="C64">
        <v>1.5</v>
      </c>
      <c r="D64">
        <v>1.5</v>
      </c>
      <c r="E64">
        <v>1.7</v>
      </c>
      <c r="F64">
        <v>2.65</v>
      </c>
      <c r="G64" s="2">
        <v>4.3</v>
      </c>
      <c r="H64" s="2">
        <f t="shared" si="0"/>
        <v>3.2257091743760959</v>
      </c>
      <c r="I64">
        <v>10.310000000000002</v>
      </c>
      <c r="J64">
        <v>8.1</v>
      </c>
      <c r="K64">
        <v>10.7</v>
      </c>
      <c r="L64">
        <v>4.9000000000000004</v>
      </c>
      <c r="M64" s="2">
        <v>0.12023</v>
      </c>
      <c r="N64" s="4">
        <f t="shared" si="2"/>
        <v>0.99253173059916244</v>
      </c>
      <c r="O64" s="4">
        <v>2.2482000000000002</v>
      </c>
      <c r="P64" s="2">
        <v>7.3</v>
      </c>
      <c r="Q64">
        <v>4</v>
      </c>
      <c r="R64" s="4">
        <v>2.2482000000000002</v>
      </c>
    </row>
    <row r="65" spans="1:18" x14ac:dyDescent="0.25">
      <c r="A65" s="1">
        <v>38078</v>
      </c>
      <c r="B65">
        <v>1.7</v>
      </c>
      <c r="C65">
        <v>1.6</v>
      </c>
      <c r="D65">
        <v>1.6</v>
      </c>
      <c r="E65">
        <v>2</v>
      </c>
      <c r="F65">
        <v>2.85</v>
      </c>
      <c r="G65" s="2">
        <v>4.2</v>
      </c>
      <c r="H65" s="2">
        <f t="shared" si="0"/>
        <v>3.2224497525398768</v>
      </c>
      <c r="I65">
        <v>9.5699999999999932</v>
      </c>
      <c r="J65">
        <v>9.6</v>
      </c>
      <c r="K65">
        <v>11.9</v>
      </c>
      <c r="L65">
        <v>5.4</v>
      </c>
      <c r="M65" s="2">
        <v>0.14161000000000001</v>
      </c>
      <c r="N65" s="4">
        <f t="shared" si="2"/>
        <v>0.99435450128215297</v>
      </c>
      <c r="O65" s="4">
        <v>1.9959</v>
      </c>
      <c r="P65" s="2">
        <v>7.2</v>
      </c>
      <c r="Q65">
        <v>3.75</v>
      </c>
      <c r="R65" s="4">
        <v>1.9959</v>
      </c>
    </row>
    <row r="66" spans="1:18" x14ac:dyDescent="0.25">
      <c r="A66" s="1">
        <v>38108</v>
      </c>
      <c r="B66">
        <v>2.4</v>
      </c>
      <c r="C66">
        <v>1.6</v>
      </c>
      <c r="D66">
        <v>1.7</v>
      </c>
      <c r="E66">
        <v>2</v>
      </c>
      <c r="F66">
        <v>3</v>
      </c>
      <c r="G66" s="2">
        <v>4.5999999999999996</v>
      </c>
      <c r="H66" s="2">
        <f t="shared" si="0"/>
        <v>3.2114923919206486</v>
      </c>
      <c r="I66">
        <v>7.4000000000000057</v>
      </c>
      <c r="J66">
        <v>10.4</v>
      </c>
      <c r="K66">
        <v>12.9</v>
      </c>
      <c r="L66">
        <v>5.6</v>
      </c>
      <c r="M66" s="2">
        <v>0.1522</v>
      </c>
      <c r="N66" s="4">
        <f t="shared" si="2"/>
        <v>0.99714488335367468</v>
      </c>
      <c r="O66" s="4">
        <v>1.9984999999999999</v>
      </c>
      <c r="P66" s="2">
        <v>7.1</v>
      </c>
      <c r="Q66">
        <v>3.75</v>
      </c>
      <c r="R66" s="4">
        <v>1.9984999999999999</v>
      </c>
    </row>
    <row r="67" spans="1:18" x14ac:dyDescent="0.25">
      <c r="A67" s="1">
        <v>38139</v>
      </c>
      <c r="B67">
        <v>2.5</v>
      </c>
      <c r="C67">
        <v>1.7</v>
      </c>
      <c r="D67">
        <v>1.7</v>
      </c>
      <c r="E67">
        <v>2</v>
      </c>
      <c r="F67">
        <v>2.96</v>
      </c>
      <c r="G67" s="2">
        <v>4.2</v>
      </c>
      <c r="H67" s="2">
        <f t="shared" ref="H67:H108" si="3">_xlfn.FORECAST.LINEAR(A67,H68:H245,A68:A245)</f>
        <v>3.1981169802989466</v>
      </c>
      <c r="I67">
        <v>8.5699999999999932</v>
      </c>
      <c r="J67">
        <v>10.199999999999999</v>
      </c>
      <c r="K67">
        <v>13.3</v>
      </c>
      <c r="L67">
        <v>5.7</v>
      </c>
      <c r="M67" s="2">
        <v>0.15038000000000001</v>
      </c>
      <c r="N67" s="4">
        <f t="shared" si="2"/>
        <v>0.99984528167064934</v>
      </c>
      <c r="O67" s="4">
        <v>2.0005000000000002</v>
      </c>
      <c r="P67" s="2">
        <v>7.2</v>
      </c>
      <c r="Q67">
        <v>3.75</v>
      </c>
      <c r="R67" s="4">
        <v>2.0005000000000002</v>
      </c>
    </row>
    <row r="68" spans="1:18" x14ac:dyDescent="0.25">
      <c r="A68" s="1">
        <v>38169</v>
      </c>
      <c r="B68">
        <v>2.2999999999999998</v>
      </c>
      <c r="C68">
        <v>1.7</v>
      </c>
      <c r="D68">
        <v>1.6</v>
      </c>
      <c r="E68">
        <v>1.9</v>
      </c>
      <c r="F68">
        <v>2.98</v>
      </c>
      <c r="G68" s="2">
        <v>5</v>
      </c>
      <c r="H68" s="2">
        <f t="shared" si="3"/>
        <v>3.1642582986931185</v>
      </c>
      <c r="I68">
        <v>11.290000000000006</v>
      </c>
      <c r="J68">
        <v>8.4</v>
      </c>
      <c r="K68">
        <v>11.6</v>
      </c>
      <c r="L68">
        <v>5.4</v>
      </c>
      <c r="M68" s="2">
        <v>0.13569000000000001</v>
      </c>
      <c r="N68" s="4">
        <f t="shared" si="2"/>
        <v>1.003107436996187</v>
      </c>
      <c r="O68" s="4">
        <v>1.9973000000000001</v>
      </c>
      <c r="P68" s="2">
        <v>7.1</v>
      </c>
      <c r="Q68">
        <v>3.75</v>
      </c>
      <c r="R68" s="4">
        <v>1.9973000000000001</v>
      </c>
    </row>
    <row r="69" spans="1:18" x14ac:dyDescent="0.25">
      <c r="A69" s="1">
        <v>38200</v>
      </c>
      <c r="B69">
        <v>1.8</v>
      </c>
      <c r="C69">
        <v>1.7</v>
      </c>
      <c r="D69">
        <v>1.6</v>
      </c>
      <c r="E69">
        <v>1.8</v>
      </c>
      <c r="F69">
        <v>2.93</v>
      </c>
      <c r="G69" s="2">
        <v>4.3230769230769202</v>
      </c>
      <c r="H69" s="2">
        <f t="shared" si="3"/>
        <v>3.1464720652621558</v>
      </c>
      <c r="I69">
        <v>12.280000000000001</v>
      </c>
      <c r="J69">
        <v>7.6</v>
      </c>
      <c r="K69">
        <v>10.8</v>
      </c>
      <c r="L69">
        <v>5.2</v>
      </c>
      <c r="M69" s="2">
        <v>0.10915</v>
      </c>
      <c r="N69" s="4">
        <f t="shared" si="2"/>
        <v>1.0061439744493446</v>
      </c>
      <c r="O69" s="4">
        <v>1.9979</v>
      </c>
      <c r="P69" s="2">
        <v>7</v>
      </c>
      <c r="Q69">
        <v>3.75</v>
      </c>
      <c r="R69" s="4">
        <v>1.9979</v>
      </c>
    </row>
    <row r="70" spans="1:18" x14ac:dyDescent="0.25">
      <c r="A70" s="1">
        <v>38231</v>
      </c>
      <c r="B70">
        <v>1.8</v>
      </c>
      <c r="C70">
        <v>1.7</v>
      </c>
      <c r="D70">
        <v>1.7</v>
      </c>
      <c r="E70">
        <v>1.8</v>
      </c>
      <c r="F70">
        <v>2.72</v>
      </c>
      <c r="G70" s="2">
        <v>4.3142857142857096</v>
      </c>
      <c r="H70" s="2">
        <f t="shared" si="3"/>
        <v>3.1191433531117685</v>
      </c>
      <c r="I70">
        <v>14.319999999999993</v>
      </c>
      <c r="J70">
        <v>7.2</v>
      </c>
      <c r="K70">
        <v>10.1</v>
      </c>
      <c r="L70">
        <v>5</v>
      </c>
      <c r="M70" s="2">
        <v>7.4279999999999999E-2</v>
      </c>
      <c r="N70" s="4">
        <f t="shared" si="2"/>
        <v>1.0087710377074082</v>
      </c>
      <c r="O70" s="4">
        <v>2.2496</v>
      </c>
      <c r="P70" s="2">
        <v>6.9</v>
      </c>
      <c r="Q70">
        <v>4</v>
      </c>
      <c r="R70" s="4">
        <v>2.2496</v>
      </c>
    </row>
    <row r="71" spans="1:18" x14ac:dyDescent="0.25">
      <c r="A71" s="1">
        <v>38261</v>
      </c>
      <c r="B71">
        <v>2.2999999999999998</v>
      </c>
      <c r="C71">
        <v>1.8</v>
      </c>
      <c r="D71">
        <v>1.7</v>
      </c>
      <c r="E71">
        <v>1.9</v>
      </c>
      <c r="F71">
        <v>2.72</v>
      </c>
      <c r="G71" s="2">
        <v>4.3054945054945097</v>
      </c>
      <c r="H71" s="2">
        <f t="shared" si="3"/>
        <v>3.1059212328287042</v>
      </c>
      <c r="I71">
        <v>17.409999999999997</v>
      </c>
      <c r="J71">
        <v>7.9</v>
      </c>
      <c r="K71">
        <v>10.4</v>
      </c>
      <c r="L71">
        <v>5.2</v>
      </c>
      <c r="M71" s="2">
        <v>3.9030000000000002E-2</v>
      </c>
      <c r="N71" s="4">
        <f t="shared" si="2"/>
        <v>1.0146852647011217</v>
      </c>
      <c r="O71" s="4">
        <v>2.496</v>
      </c>
      <c r="P71" s="2">
        <v>7.1</v>
      </c>
      <c r="Q71">
        <v>4.25</v>
      </c>
      <c r="R71" s="4">
        <v>2.496</v>
      </c>
    </row>
    <row r="72" spans="1:18" x14ac:dyDescent="0.25">
      <c r="A72" s="1">
        <v>38292</v>
      </c>
      <c r="B72">
        <v>2.4</v>
      </c>
      <c r="C72">
        <v>1.8</v>
      </c>
      <c r="D72">
        <v>1.8</v>
      </c>
      <c r="E72">
        <v>2</v>
      </c>
      <c r="F72">
        <v>2.73</v>
      </c>
      <c r="G72" s="2">
        <v>4.2967032967033001</v>
      </c>
      <c r="H72" s="2">
        <f t="shared" si="3"/>
        <v>3.0926592344603776</v>
      </c>
      <c r="I72">
        <v>20.980000000000004</v>
      </c>
      <c r="J72">
        <v>7.4</v>
      </c>
      <c r="K72">
        <v>10</v>
      </c>
      <c r="L72">
        <v>5.0999999999999996</v>
      </c>
      <c r="M72" s="2">
        <v>8.3599999999999994E-3</v>
      </c>
      <c r="N72" s="4">
        <f t="shared" si="2"/>
        <v>1.0204815997649561</v>
      </c>
      <c r="O72" s="4">
        <v>2.4977</v>
      </c>
      <c r="P72" s="2">
        <v>7.2</v>
      </c>
      <c r="Q72">
        <v>4.25</v>
      </c>
      <c r="R72" s="4">
        <v>2.4977</v>
      </c>
    </row>
    <row r="73" spans="1:18" x14ac:dyDescent="0.25">
      <c r="A73" s="1">
        <v>38322</v>
      </c>
      <c r="B73">
        <v>2.1</v>
      </c>
      <c r="C73">
        <v>1.8</v>
      </c>
      <c r="D73">
        <v>1.9</v>
      </c>
      <c r="E73">
        <v>2</v>
      </c>
      <c r="F73">
        <v>2.81</v>
      </c>
      <c r="G73" s="2">
        <v>4.2879120879120904</v>
      </c>
      <c r="H73" s="2">
        <f t="shared" si="3"/>
        <v>3.0710109284620284</v>
      </c>
      <c r="I73">
        <v>17.790000000000006</v>
      </c>
      <c r="J73">
        <v>8.1999999999999993</v>
      </c>
      <c r="K73">
        <v>10.1</v>
      </c>
      <c r="L73">
        <v>5.3</v>
      </c>
      <c r="M73" s="2">
        <v>-1.3180000000000001E-2</v>
      </c>
      <c r="N73" s="4">
        <f t="shared" si="2"/>
        <v>1.025934910626237</v>
      </c>
      <c r="O73" s="4">
        <v>2.4998999999999998</v>
      </c>
      <c r="P73" s="2">
        <v>7.1</v>
      </c>
      <c r="Q73">
        <v>4.25</v>
      </c>
      <c r="R73" s="4">
        <v>2.4998999999999998</v>
      </c>
    </row>
    <row r="74" spans="1:18" x14ac:dyDescent="0.25">
      <c r="A74" s="1">
        <v>38353</v>
      </c>
      <c r="B74">
        <v>1.9</v>
      </c>
      <c r="C74">
        <v>1.7</v>
      </c>
      <c r="D74">
        <v>1.8</v>
      </c>
      <c r="E74">
        <v>2</v>
      </c>
      <c r="F74">
        <v>2.71</v>
      </c>
      <c r="G74" s="2">
        <v>4.2791208791208799</v>
      </c>
      <c r="H74" s="2">
        <f t="shared" si="3"/>
        <v>3.0540679169734819</v>
      </c>
      <c r="I74">
        <v>17.560000000000002</v>
      </c>
      <c r="J74">
        <v>7.9</v>
      </c>
      <c r="K74">
        <v>9.9</v>
      </c>
      <c r="L74">
        <v>5.4</v>
      </c>
      <c r="M74" s="2">
        <v>-1.9130000000000001E-2</v>
      </c>
      <c r="N74" s="4">
        <f t="shared" si="2"/>
        <v>1.0310433762917903</v>
      </c>
      <c r="O74" s="4">
        <v>2.4980000000000002</v>
      </c>
      <c r="P74" s="2">
        <v>7</v>
      </c>
      <c r="Q74">
        <v>4.25</v>
      </c>
      <c r="R74" s="4">
        <v>2.4980000000000002</v>
      </c>
    </row>
    <row r="75" spans="1:18" x14ac:dyDescent="0.25">
      <c r="A75" s="1">
        <v>38384</v>
      </c>
      <c r="B75">
        <v>2.1</v>
      </c>
      <c r="C75">
        <v>1.7</v>
      </c>
      <c r="D75">
        <v>1.8</v>
      </c>
      <c r="E75">
        <v>2</v>
      </c>
      <c r="F75">
        <v>2.69</v>
      </c>
      <c r="G75" s="2">
        <v>4.2703296703296703</v>
      </c>
      <c r="H75" s="2">
        <f t="shared" si="3"/>
        <v>3.0385769351398384</v>
      </c>
      <c r="I75">
        <v>16.189999999999998</v>
      </c>
      <c r="J75">
        <v>7.6</v>
      </c>
      <c r="K75">
        <v>9.6</v>
      </c>
      <c r="L75">
        <v>5.5</v>
      </c>
      <c r="M75" s="2">
        <v>-7.6299999999999996E-3</v>
      </c>
      <c r="N75" s="4">
        <f t="shared" si="2"/>
        <v>1.035760144939639</v>
      </c>
      <c r="O75" s="4">
        <v>2.4971000000000001</v>
      </c>
      <c r="P75" s="2">
        <v>7</v>
      </c>
      <c r="Q75">
        <v>4.25</v>
      </c>
      <c r="R75" s="4">
        <v>2.4971000000000001</v>
      </c>
    </row>
    <row r="76" spans="1:18" x14ac:dyDescent="0.25">
      <c r="A76" s="1">
        <v>38412</v>
      </c>
      <c r="B76">
        <v>2.2999999999999998</v>
      </c>
      <c r="C76">
        <v>1.9</v>
      </c>
      <c r="D76">
        <v>2</v>
      </c>
      <c r="E76">
        <v>2</v>
      </c>
      <c r="F76">
        <v>2.69</v>
      </c>
      <c r="G76" s="2">
        <v>4.2615384615384597</v>
      </c>
      <c r="H76" s="2">
        <f t="shared" si="3"/>
        <v>3.0294545828231367</v>
      </c>
      <c r="I76">
        <v>18.269999999999996</v>
      </c>
      <c r="J76">
        <v>7.2</v>
      </c>
      <c r="K76">
        <v>8.6999999999999993</v>
      </c>
      <c r="L76">
        <v>5.4</v>
      </c>
      <c r="M76" s="2">
        <v>1.9140000000000001E-2</v>
      </c>
      <c r="N76" s="4">
        <f t="shared" si="2"/>
        <v>1.0403393314747371</v>
      </c>
      <c r="O76" s="4">
        <v>2.4794</v>
      </c>
      <c r="P76" s="2">
        <v>6.9</v>
      </c>
      <c r="Q76">
        <v>4.25</v>
      </c>
      <c r="R76" s="4">
        <v>2.4794</v>
      </c>
    </row>
    <row r="77" spans="1:18" x14ac:dyDescent="0.25">
      <c r="A77" s="1">
        <v>38443</v>
      </c>
      <c r="B77">
        <v>2.4</v>
      </c>
      <c r="C77">
        <v>1.8</v>
      </c>
      <c r="D77">
        <v>1.9</v>
      </c>
      <c r="E77">
        <v>2</v>
      </c>
      <c r="F77">
        <v>2.67</v>
      </c>
      <c r="G77" s="2">
        <v>4.2527472527472501</v>
      </c>
      <c r="H77" s="2">
        <f t="shared" si="3"/>
        <v>3.0143236008028014</v>
      </c>
      <c r="I77">
        <v>16.75</v>
      </c>
      <c r="J77">
        <v>6.9</v>
      </c>
      <c r="K77">
        <v>8.1</v>
      </c>
      <c r="L77">
        <v>5.4</v>
      </c>
      <c r="M77" s="2">
        <v>5.425E-2</v>
      </c>
      <c r="N77" s="4">
        <f t="shared" si="2"/>
        <v>1.0446558827990609</v>
      </c>
      <c r="O77" s="4">
        <v>2.4954000000000001</v>
      </c>
      <c r="P77" s="2">
        <v>6.7</v>
      </c>
      <c r="Q77">
        <v>4.25</v>
      </c>
      <c r="R77" s="4">
        <v>2.4954000000000001</v>
      </c>
    </row>
    <row r="78" spans="1:18" x14ac:dyDescent="0.25">
      <c r="A78" s="1">
        <v>38473</v>
      </c>
      <c r="B78">
        <v>1.6</v>
      </c>
      <c r="C78">
        <v>1.8</v>
      </c>
      <c r="D78">
        <v>1.8</v>
      </c>
      <c r="E78">
        <v>1.9</v>
      </c>
      <c r="F78">
        <v>2.6</v>
      </c>
      <c r="G78" s="2">
        <v>4.2439560439560404</v>
      </c>
      <c r="H78" s="2">
        <f t="shared" si="3"/>
        <v>2.98320371730538</v>
      </c>
      <c r="I78">
        <v>15.060000000000002</v>
      </c>
      <c r="J78">
        <v>6.1</v>
      </c>
      <c r="K78">
        <v>7</v>
      </c>
      <c r="L78">
        <v>5.3</v>
      </c>
      <c r="M78" s="2">
        <v>9.2719999999999997E-2</v>
      </c>
      <c r="N78" s="4">
        <f t="shared" ref="N78:N141" si="4">_xlfn.FORECAST.LINEAR(A78,N79:N208,A79:A208)</f>
        <v>1.048822211641065</v>
      </c>
      <c r="O78" s="4">
        <v>2.4866000000000001</v>
      </c>
      <c r="P78" s="2">
        <v>7</v>
      </c>
      <c r="Q78">
        <v>4.25</v>
      </c>
      <c r="R78" s="4">
        <v>2.4866000000000001</v>
      </c>
    </row>
    <row r="79" spans="1:18" x14ac:dyDescent="0.25">
      <c r="A79" s="1">
        <v>38504</v>
      </c>
      <c r="B79">
        <v>1.7</v>
      </c>
      <c r="C79">
        <v>1.8</v>
      </c>
      <c r="D79">
        <v>1.9</v>
      </c>
      <c r="E79">
        <v>2</v>
      </c>
      <c r="F79">
        <v>2.42</v>
      </c>
      <c r="G79" s="2">
        <v>4.2351648351648397</v>
      </c>
      <c r="H79" s="2">
        <f t="shared" si="3"/>
        <v>2.9264665034481334</v>
      </c>
      <c r="I79">
        <v>17.310000000000002</v>
      </c>
      <c r="J79">
        <v>5.8</v>
      </c>
      <c r="K79">
        <v>6.2</v>
      </c>
      <c r="L79">
        <v>5.2</v>
      </c>
      <c r="M79" s="2">
        <v>0.12903000000000001</v>
      </c>
      <c r="N79" s="4">
        <f t="shared" si="4"/>
        <v>1.0525759353992656</v>
      </c>
      <c r="O79" s="4">
        <v>2.4935999999999998</v>
      </c>
      <c r="P79" s="2">
        <v>6.8</v>
      </c>
      <c r="Q79">
        <v>4.25</v>
      </c>
      <c r="R79" s="4">
        <v>2.4935999999999998</v>
      </c>
    </row>
    <row r="80" spans="1:18" x14ac:dyDescent="0.25">
      <c r="A80" s="1">
        <v>38534</v>
      </c>
      <c r="B80">
        <v>2</v>
      </c>
      <c r="C80">
        <v>1.7</v>
      </c>
      <c r="D80">
        <v>1.8</v>
      </c>
      <c r="E80">
        <v>2</v>
      </c>
      <c r="F80">
        <v>2.38</v>
      </c>
      <c r="G80" s="2">
        <v>4.22637362637363</v>
      </c>
      <c r="H80" s="2">
        <f t="shared" si="3"/>
        <v>2.8850355962746805</v>
      </c>
      <c r="I80">
        <v>19.430000000000007</v>
      </c>
      <c r="J80">
        <v>5.0999999999999996</v>
      </c>
      <c r="K80">
        <v>5.9</v>
      </c>
      <c r="L80">
        <v>5.2</v>
      </c>
      <c r="M80" s="2">
        <v>0.15454999999999999</v>
      </c>
      <c r="N80" s="4">
        <f t="shared" si="4"/>
        <v>1.0559858515677005</v>
      </c>
      <c r="O80" s="4">
        <v>2.4922</v>
      </c>
      <c r="P80" s="2">
        <v>6.7</v>
      </c>
      <c r="Q80">
        <v>4.25</v>
      </c>
      <c r="R80" s="4">
        <v>2.4922</v>
      </c>
    </row>
    <row r="81" spans="1:18" x14ac:dyDescent="0.25">
      <c r="A81" s="1">
        <v>38565</v>
      </c>
      <c r="B81">
        <v>2.6</v>
      </c>
      <c r="C81">
        <v>1.7</v>
      </c>
      <c r="D81">
        <v>1.8</v>
      </c>
      <c r="E81">
        <v>2.2000000000000002</v>
      </c>
      <c r="F81">
        <v>2.39</v>
      </c>
      <c r="G81" s="2">
        <v>4.2175824175824204</v>
      </c>
      <c r="H81" s="2">
        <f t="shared" si="3"/>
        <v>2.8459739520080864</v>
      </c>
      <c r="I81">
        <v>20.5</v>
      </c>
      <c r="J81">
        <v>5</v>
      </c>
      <c r="K81">
        <v>6</v>
      </c>
      <c r="L81">
        <v>5.3</v>
      </c>
      <c r="M81" s="2">
        <v>0.16592999999999999</v>
      </c>
      <c r="N81" s="4">
        <f t="shared" si="4"/>
        <v>1.0586243293032367</v>
      </c>
      <c r="O81" s="4">
        <v>2.4882</v>
      </c>
      <c r="P81" s="2">
        <v>6.7</v>
      </c>
      <c r="Q81">
        <v>4.25</v>
      </c>
      <c r="R81" s="4">
        <v>2.4882</v>
      </c>
    </row>
    <row r="82" spans="1:18" x14ac:dyDescent="0.25">
      <c r="A82" s="1">
        <v>38596</v>
      </c>
      <c r="B82">
        <v>3.2</v>
      </c>
      <c r="C82">
        <v>1.7</v>
      </c>
      <c r="D82">
        <v>1.9</v>
      </c>
      <c r="E82">
        <v>2.2000000000000002</v>
      </c>
      <c r="F82">
        <v>2.57</v>
      </c>
      <c r="G82" s="2">
        <v>4.2087912087912098</v>
      </c>
      <c r="H82" s="2">
        <f t="shared" si="3"/>
        <v>2.8104790442817222</v>
      </c>
      <c r="I82">
        <v>23.299999999999997</v>
      </c>
      <c r="J82">
        <v>6.2</v>
      </c>
      <c r="K82">
        <v>6.9</v>
      </c>
      <c r="L82">
        <v>5.8</v>
      </c>
      <c r="M82" s="2">
        <v>0.16333</v>
      </c>
      <c r="N82" s="4">
        <f t="shared" si="4"/>
        <v>1.061176870996043</v>
      </c>
      <c r="O82" s="4">
        <v>2.7421000000000002</v>
      </c>
      <c r="P82" s="2">
        <v>6.7</v>
      </c>
      <c r="Q82">
        <v>4.5</v>
      </c>
      <c r="R82" s="4">
        <v>2.7421000000000002</v>
      </c>
    </row>
    <row r="83" spans="1:18" x14ac:dyDescent="0.25">
      <c r="A83" s="1">
        <v>38626</v>
      </c>
      <c r="B83">
        <v>2.6</v>
      </c>
      <c r="C83">
        <v>1.7</v>
      </c>
      <c r="D83">
        <v>1.9</v>
      </c>
      <c r="E83">
        <v>2</v>
      </c>
      <c r="F83">
        <v>2.67</v>
      </c>
      <c r="G83" s="2">
        <v>4.2</v>
      </c>
      <c r="H83" s="2">
        <f t="shared" si="3"/>
        <v>2.7762949432011634</v>
      </c>
      <c r="I83">
        <v>24.03</v>
      </c>
      <c r="J83">
        <v>6.5</v>
      </c>
      <c r="K83">
        <v>7.5</v>
      </c>
      <c r="L83">
        <v>6.1</v>
      </c>
      <c r="M83" s="2">
        <v>0.14968000000000001</v>
      </c>
      <c r="N83" s="4">
        <f t="shared" si="4"/>
        <v>1.0633500943424763</v>
      </c>
      <c r="O83" s="4">
        <v>2.9872999999999998</v>
      </c>
      <c r="P83" s="2">
        <v>6.7</v>
      </c>
      <c r="Q83">
        <v>4.75</v>
      </c>
      <c r="R83" s="4">
        <v>2.9872999999999998</v>
      </c>
    </row>
    <row r="84" spans="1:18" x14ac:dyDescent="0.25">
      <c r="A84" s="1">
        <v>38657</v>
      </c>
      <c r="B84">
        <v>2</v>
      </c>
      <c r="C84">
        <v>1.7</v>
      </c>
      <c r="D84">
        <v>1.8</v>
      </c>
      <c r="E84">
        <v>2</v>
      </c>
      <c r="F84">
        <v>2.5299999999999998</v>
      </c>
      <c r="G84" s="2">
        <v>4.1912087912087896</v>
      </c>
      <c r="H84" s="2">
        <f t="shared" si="3"/>
        <v>2.7498352658219352</v>
      </c>
      <c r="I84">
        <v>24.230000000000004</v>
      </c>
      <c r="J84">
        <v>6.7</v>
      </c>
      <c r="K84">
        <v>7.8</v>
      </c>
      <c r="L84">
        <v>6.2</v>
      </c>
      <c r="M84" s="2">
        <v>0.12634999999999999</v>
      </c>
      <c r="N84" s="4">
        <f t="shared" si="4"/>
        <v>1.0657056176299919</v>
      </c>
      <c r="O84" s="4">
        <v>2.9883000000000002</v>
      </c>
      <c r="P84" s="2">
        <v>6.4</v>
      </c>
      <c r="Q84">
        <v>4.75</v>
      </c>
      <c r="R84" s="4">
        <v>2.9883000000000002</v>
      </c>
    </row>
    <row r="85" spans="1:18" x14ac:dyDescent="0.25">
      <c r="A85" s="1">
        <v>38687</v>
      </c>
      <c r="B85">
        <v>2.1</v>
      </c>
      <c r="C85">
        <v>1.7</v>
      </c>
      <c r="D85">
        <v>1.8</v>
      </c>
      <c r="E85">
        <v>2</v>
      </c>
      <c r="F85">
        <v>2.58</v>
      </c>
      <c r="G85" s="2">
        <v>4.18241758241758</v>
      </c>
      <c r="H85" s="2">
        <f t="shared" si="3"/>
        <v>2.7331616063406243</v>
      </c>
      <c r="I85">
        <v>26.22</v>
      </c>
      <c r="J85">
        <v>5.8</v>
      </c>
      <c r="K85">
        <v>7.2</v>
      </c>
      <c r="L85">
        <v>6.3</v>
      </c>
      <c r="M85" s="2">
        <v>9.4210000000000002E-2</v>
      </c>
      <c r="N85" s="4">
        <f t="shared" si="4"/>
        <v>1.067794761665505</v>
      </c>
      <c r="O85" s="4">
        <v>3.2437</v>
      </c>
      <c r="P85" s="2">
        <v>6.6</v>
      </c>
      <c r="Q85">
        <v>5</v>
      </c>
      <c r="R85" s="4">
        <v>3.2437</v>
      </c>
    </row>
    <row r="86" spans="1:18" x14ac:dyDescent="0.25">
      <c r="A86" s="1">
        <v>38718</v>
      </c>
      <c r="B86">
        <v>2.8</v>
      </c>
      <c r="C86">
        <v>1.8</v>
      </c>
      <c r="D86">
        <v>1.8</v>
      </c>
      <c r="E86">
        <v>2.1</v>
      </c>
      <c r="F86">
        <v>2.66</v>
      </c>
      <c r="G86" s="2">
        <v>4.1736263736263703</v>
      </c>
      <c r="H86" s="2">
        <f t="shared" si="3"/>
        <v>2.7093131760018174</v>
      </c>
      <c r="I86">
        <v>25.680000000000007</v>
      </c>
      <c r="J86">
        <v>5.8</v>
      </c>
      <c r="K86">
        <v>6.8</v>
      </c>
      <c r="L86">
        <v>6.3</v>
      </c>
      <c r="M86" s="2">
        <v>5.5440000000000003E-2</v>
      </c>
      <c r="N86" s="4">
        <f t="shared" si="4"/>
        <v>1.0694197233958782</v>
      </c>
      <c r="O86" s="4">
        <v>3.2961</v>
      </c>
      <c r="P86" s="2">
        <v>6.6</v>
      </c>
      <c r="Q86">
        <v>5.25</v>
      </c>
      <c r="R86" s="4">
        <v>3.2961</v>
      </c>
    </row>
    <row r="87" spans="1:18" x14ac:dyDescent="0.25">
      <c r="A87" s="1">
        <v>38749</v>
      </c>
      <c r="B87">
        <v>2.2000000000000002</v>
      </c>
      <c r="C87">
        <v>1.8</v>
      </c>
      <c r="D87">
        <v>1.8</v>
      </c>
      <c r="E87">
        <v>2</v>
      </c>
      <c r="F87">
        <v>2.71</v>
      </c>
      <c r="G87" s="2">
        <v>4.1648351648351696</v>
      </c>
      <c r="H87" s="2">
        <f t="shared" si="3"/>
        <v>2.6907387579857449</v>
      </c>
      <c r="I87">
        <v>26.86</v>
      </c>
      <c r="J87">
        <v>6.5</v>
      </c>
      <c r="K87">
        <v>7.2</v>
      </c>
      <c r="L87">
        <v>6.5</v>
      </c>
      <c r="M87" s="2">
        <v>1.221E-2</v>
      </c>
      <c r="N87" s="4">
        <f t="shared" si="4"/>
        <v>1.0710582263159951</v>
      </c>
      <c r="O87" s="4">
        <v>3.4765000000000001</v>
      </c>
      <c r="P87" s="2">
        <v>6.4</v>
      </c>
      <c r="Q87">
        <v>5.25</v>
      </c>
      <c r="R87" s="4">
        <v>3.4765000000000001</v>
      </c>
    </row>
    <row r="88" spans="1:18" x14ac:dyDescent="0.25">
      <c r="A88" s="1">
        <v>38777</v>
      </c>
      <c r="B88">
        <v>2.2000000000000002</v>
      </c>
      <c r="C88">
        <v>1.8</v>
      </c>
      <c r="D88">
        <v>1.9</v>
      </c>
      <c r="E88">
        <v>2</v>
      </c>
      <c r="F88">
        <v>2.64</v>
      </c>
      <c r="G88" s="2">
        <v>4.1560439560439599</v>
      </c>
      <c r="H88" s="2">
        <f t="shared" si="3"/>
        <v>2.6541975474110067</v>
      </c>
      <c r="I88">
        <v>25.959999999999994</v>
      </c>
      <c r="J88">
        <v>6.9</v>
      </c>
      <c r="K88">
        <v>7.2</v>
      </c>
      <c r="L88">
        <v>6.7</v>
      </c>
      <c r="M88" s="2">
        <v>-3.0360000000000002E-2</v>
      </c>
      <c r="N88" s="4">
        <f t="shared" si="4"/>
        <v>1.0721956409030131</v>
      </c>
      <c r="O88" s="4">
        <v>3.7269000000000001</v>
      </c>
      <c r="P88" s="2">
        <v>6.4</v>
      </c>
      <c r="Q88">
        <v>5.5</v>
      </c>
      <c r="R88" s="4">
        <v>3.7269000000000001</v>
      </c>
    </row>
    <row r="89" spans="1:18" x14ac:dyDescent="0.25">
      <c r="A89" s="1">
        <v>38808</v>
      </c>
      <c r="B89">
        <v>2.4</v>
      </c>
      <c r="C89">
        <v>1.8</v>
      </c>
      <c r="D89">
        <v>1.8</v>
      </c>
      <c r="E89">
        <v>1.9</v>
      </c>
      <c r="F89">
        <v>2.78</v>
      </c>
      <c r="G89" s="2">
        <v>4.1472527472527503</v>
      </c>
      <c r="H89" s="2">
        <f t="shared" si="3"/>
        <v>2.622285217548582</v>
      </c>
      <c r="I89">
        <v>27.049999999999997</v>
      </c>
      <c r="J89">
        <v>6.9</v>
      </c>
      <c r="K89">
        <v>7.1</v>
      </c>
      <c r="L89">
        <v>6.8</v>
      </c>
      <c r="M89" s="2">
        <v>-6.0990000000000003E-2</v>
      </c>
      <c r="N89" s="4">
        <f t="shared" si="4"/>
        <v>1.0732721676424575</v>
      </c>
      <c r="O89" s="4">
        <v>3.8182</v>
      </c>
      <c r="P89" s="2">
        <v>6.3</v>
      </c>
      <c r="Q89">
        <v>5.75</v>
      </c>
      <c r="R89" s="4">
        <v>3.8182</v>
      </c>
    </row>
    <row r="90" spans="1:18" x14ac:dyDescent="0.25">
      <c r="A90" s="1">
        <v>38838</v>
      </c>
      <c r="B90">
        <v>2.8</v>
      </c>
      <c r="C90">
        <v>1.9</v>
      </c>
      <c r="D90">
        <v>2</v>
      </c>
      <c r="E90">
        <v>2</v>
      </c>
      <c r="F90">
        <v>2.67</v>
      </c>
      <c r="G90" s="2">
        <v>4.1384615384615397</v>
      </c>
      <c r="H90" s="2">
        <f t="shared" si="3"/>
        <v>2.6180174121346202</v>
      </c>
      <c r="I90">
        <v>29.650000000000006</v>
      </c>
      <c r="J90">
        <v>7.5</v>
      </c>
      <c r="K90">
        <v>6.8</v>
      </c>
      <c r="L90">
        <v>6.7</v>
      </c>
      <c r="M90" s="2">
        <v>-7.5730000000000006E-2</v>
      </c>
      <c r="N90" s="4">
        <f t="shared" si="4"/>
        <v>1.0744704219674994</v>
      </c>
      <c r="O90" s="4">
        <v>4.2126000000000001</v>
      </c>
      <c r="P90" s="2">
        <v>6.1</v>
      </c>
      <c r="Q90">
        <v>6</v>
      </c>
      <c r="R90" s="4">
        <v>4.2126000000000001</v>
      </c>
    </row>
    <row r="91" spans="1:18" x14ac:dyDescent="0.25">
      <c r="A91" s="1">
        <v>38869</v>
      </c>
      <c r="B91">
        <v>2.4</v>
      </c>
      <c r="C91">
        <v>1.8</v>
      </c>
      <c r="D91">
        <v>1.8</v>
      </c>
      <c r="E91">
        <v>1.8</v>
      </c>
      <c r="F91">
        <v>2.77</v>
      </c>
      <c r="G91" s="2">
        <v>4.1296703296703301</v>
      </c>
      <c r="H91" s="2">
        <f t="shared" si="3"/>
        <v>2.644709641227676</v>
      </c>
      <c r="I91">
        <v>29.960000000000008</v>
      </c>
      <c r="J91">
        <v>7.7</v>
      </c>
      <c r="K91">
        <v>6.7</v>
      </c>
      <c r="L91">
        <v>6.7</v>
      </c>
      <c r="M91" s="2">
        <v>-7.5550000000000006E-2</v>
      </c>
      <c r="N91" s="4">
        <f t="shared" si="4"/>
        <v>1.074742049886789</v>
      </c>
      <c r="O91" s="4">
        <v>4.2454999999999998</v>
      </c>
      <c r="P91" s="2">
        <v>6.1</v>
      </c>
      <c r="Q91">
        <v>6</v>
      </c>
      <c r="R91" s="4">
        <v>4.2454999999999998</v>
      </c>
    </row>
    <row r="92" spans="1:18" x14ac:dyDescent="0.25">
      <c r="A92" s="1">
        <v>38899</v>
      </c>
      <c r="B92">
        <v>2.2999999999999998</v>
      </c>
      <c r="C92">
        <v>2</v>
      </c>
      <c r="D92">
        <v>2</v>
      </c>
      <c r="E92">
        <v>2</v>
      </c>
      <c r="F92">
        <v>2.65</v>
      </c>
      <c r="G92" s="2">
        <v>4.1208791208791196</v>
      </c>
      <c r="H92" s="2">
        <f t="shared" si="3"/>
        <v>2.6659726089286702</v>
      </c>
      <c r="I92">
        <v>27.840000000000003</v>
      </c>
      <c r="J92">
        <v>9.1</v>
      </c>
      <c r="K92">
        <v>7.6</v>
      </c>
      <c r="L92">
        <v>7.2</v>
      </c>
      <c r="M92" s="2">
        <v>-6.5060000000000007E-2</v>
      </c>
      <c r="N92" s="4">
        <f t="shared" si="4"/>
        <v>1.0751498273508089</v>
      </c>
      <c r="O92" s="4">
        <v>4.2442000000000002</v>
      </c>
      <c r="P92" s="2">
        <v>6.4</v>
      </c>
      <c r="Q92">
        <v>6</v>
      </c>
      <c r="R92" s="4">
        <v>4.2442000000000002</v>
      </c>
    </row>
    <row r="93" spans="1:18" x14ac:dyDescent="0.25">
      <c r="A93" s="1">
        <v>38930</v>
      </c>
      <c r="B93">
        <v>2.1</v>
      </c>
      <c r="C93">
        <v>2.1</v>
      </c>
      <c r="D93">
        <v>2</v>
      </c>
      <c r="E93">
        <v>2.1</v>
      </c>
      <c r="F93">
        <v>2.59</v>
      </c>
      <c r="G93" s="2">
        <v>4.1120879120879099</v>
      </c>
      <c r="H93" s="2">
        <f t="shared" si="3"/>
        <v>2.6819960824025508</v>
      </c>
      <c r="I93">
        <v>28.72</v>
      </c>
      <c r="J93">
        <v>9.6999999999999993</v>
      </c>
      <c r="K93">
        <v>7.9</v>
      </c>
      <c r="L93">
        <v>7.5</v>
      </c>
      <c r="M93" s="2">
        <v>-4.727E-2</v>
      </c>
      <c r="N93" s="4">
        <f t="shared" si="4"/>
        <v>1.075299764239682</v>
      </c>
      <c r="O93" s="4">
        <v>4.2427000000000001</v>
      </c>
      <c r="P93" s="2">
        <v>6.4</v>
      </c>
      <c r="Q93">
        <v>6</v>
      </c>
      <c r="R93" s="4">
        <v>4.2427000000000001</v>
      </c>
    </row>
    <row r="94" spans="1:18" x14ac:dyDescent="0.25">
      <c r="A94" s="1">
        <v>38961</v>
      </c>
      <c r="B94">
        <v>0.7</v>
      </c>
      <c r="C94">
        <v>2.2999999999999998</v>
      </c>
      <c r="D94">
        <v>2.1</v>
      </c>
      <c r="E94">
        <v>2.1</v>
      </c>
      <c r="F94">
        <v>2.41</v>
      </c>
      <c r="G94" s="2">
        <v>4.1032967032967003</v>
      </c>
      <c r="H94" s="2">
        <f t="shared" si="3"/>
        <v>2.6940615906334298</v>
      </c>
      <c r="I94">
        <v>29.22999999999999</v>
      </c>
      <c r="J94">
        <v>9.3000000000000007</v>
      </c>
      <c r="K94">
        <v>7.8</v>
      </c>
      <c r="L94">
        <v>7.6</v>
      </c>
      <c r="M94" s="2">
        <v>-2.4140000000000002E-2</v>
      </c>
      <c r="N94" s="4">
        <f t="shared" si="4"/>
        <v>1.0753050979895478</v>
      </c>
      <c r="O94" s="4">
        <v>4.2465000000000002</v>
      </c>
      <c r="P94" s="2">
        <v>6.4</v>
      </c>
      <c r="Q94">
        <v>6</v>
      </c>
      <c r="R94" s="4">
        <v>4.2465000000000002</v>
      </c>
    </row>
    <row r="95" spans="1:18" x14ac:dyDescent="0.25">
      <c r="A95" s="1">
        <v>38991</v>
      </c>
      <c r="B95">
        <v>1</v>
      </c>
      <c r="C95">
        <v>2.4</v>
      </c>
      <c r="D95">
        <v>2.1</v>
      </c>
      <c r="E95">
        <v>2.2999999999999998</v>
      </c>
      <c r="F95">
        <v>2.46</v>
      </c>
      <c r="G95" s="2">
        <v>4.0945054945055004</v>
      </c>
      <c r="H95" s="2">
        <f t="shared" si="3"/>
        <v>2.6946630806346867</v>
      </c>
      <c r="I95">
        <v>27.909999999999997</v>
      </c>
      <c r="J95">
        <v>9.5</v>
      </c>
      <c r="K95">
        <v>7.7</v>
      </c>
      <c r="L95">
        <v>7.6</v>
      </c>
      <c r="M95" s="2">
        <v>2.33E-3</v>
      </c>
      <c r="N95" s="4">
        <f t="shared" si="4"/>
        <v>1.071754993367978</v>
      </c>
      <c r="O95" s="4">
        <v>4.2335000000000003</v>
      </c>
      <c r="P95" s="2">
        <v>6.2</v>
      </c>
      <c r="Q95">
        <v>6</v>
      </c>
      <c r="R95" s="4">
        <v>4.2335000000000003</v>
      </c>
    </row>
    <row r="96" spans="1:18" x14ac:dyDescent="0.25">
      <c r="A96" s="1">
        <v>39022</v>
      </c>
      <c r="B96">
        <v>1.4</v>
      </c>
      <c r="C96">
        <v>2.5</v>
      </c>
      <c r="D96">
        <v>2.2000000000000002</v>
      </c>
      <c r="E96">
        <v>2.4</v>
      </c>
      <c r="F96">
        <v>2.39</v>
      </c>
      <c r="G96" s="2">
        <v>4.0857142857142899</v>
      </c>
      <c r="H96" s="2">
        <f t="shared" si="3"/>
        <v>2.6929692538872798</v>
      </c>
      <c r="I96">
        <v>26.319999999999993</v>
      </c>
      <c r="J96">
        <v>10.5</v>
      </c>
      <c r="K96">
        <v>8.4</v>
      </c>
      <c r="L96">
        <v>8</v>
      </c>
      <c r="M96" s="2">
        <v>3.1359999999999999E-2</v>
      </c>
      <c r="N96" s="4">
        <f t="shared" si="4"/>
        <v>1.0674782013594806</v>
      </c>
      <c r="O96" s="4">
        <v>4.2476000000000003</v>
      </c>
      <c r="P96" s="2">
        <v>6.4</v>
      </c>
      <c r="Q96">
        <v>6</v>
      </c>
      <c r="R96" s="4">
        <v>4.2476000000000003</v>
      </c>
    </row>
    <row r="97" spans="1:18" x14ac:dyDescent="0.25">
      <c r="A97" s="1">
        <v>39052</v>
      </c>
      <c r="B97">
        <v>1.7</v>
      </c>
      <c r="C97">
        <v>2.5</v>
      </c>
      <c r="D97">
        <v>2.2000000000000002</v>
      </c>
      <c r="E97">
        <v>2.2000000000000002</v>
      </c>
      <c r="F97">
        <v>2.37</v>
      </c>
      <c r="G97" s="2">
        <v>4.0769230769230802</v>
      </c>
      <c r="H97" s="2">
        <f t="shared" si="3"/>
        <v>2.6924240601828195</v>
      </c>
      <c r="I97">
        <v>23.739999999999995</v>
      </c>
      <c r="J97">
        <v>10.6</v>
      </c>
      <c r="K97">
        <v>8.8000000000000007</v>
      </c>
      <c r="L97">
        <v>8.1999999999999993</v>
      </c>
      <c r="M97" s="2">
        <v>6.1629999999999997E-2</v>
      </c>
      <c r="N97" s="4">
        <f t="shared" si="4"/>
        <v>1.0596412706123366</v>
      </c>
      <c r="O97" s="4">
        <v>4.2481999999999998</v>
      </c>
      <c r="P97" s="2">
        <v>6.2</v>
      </c>
      <c r="Q97">
        <v>6</v>
      </c>
      <c r="R97" s="4">
        <v>4.2481999999999998</v>
      </c>
    </row>
    <row r="98" spans="1:18" x14ac:dyDescent="0.25">
      <c r="A98" s="1">
        <v>39083</v>
      </c>
      <c r="B98">
        <v>1.1000000000000001</v>
      </c>
      <c r="C98">
        <v>2.5</v>
      </c>
      <c r="D98">
        <v>2.2999999999999998</v>
      </c>
      <c r="E98">
        <v>2.2000000000000002</v>
      </c>
      <c r="F98">
        <v>2.4300000000000002</v>
      </c>
      <c r="G98" s="2">
        <v>4.0681318681318697</v>
      </c>
      <c r="H98" s="2">
        <f t="shared" si="3"/>
        <v>2.6951215787834371</v>
      </c>
      <c r="I98">
        <v>21.870000000000005</v>
      </c>
      <c r="J98">
        <v>10.1</v>
      </c>
      <c r="K98">
        <v>9</v>
      </c>
      <c r="L98">
        <v>8.5</v>
      </c>
      <c r="M98" s="2">
        <v>8.9399999999999993E-2</v>
      </c>
      <c r="N98" s="4">
        <f t="shared" si="4"/>
        <v>1.0523998976850621</v>
      </c>
      <c r="O98" s="4">
        <v>4.2446999999999999</v>
      </c>
      <c r="P98" s="2">
        <v>6.3</v>
      </c>
      <c r="Q98">
        <v>6</v>
      </c>
      <c r="R98" s="4">
        <v>4.2446999999999999</v>
      </c>
    </row>
    <row r="99" spans="1:18" x14ac:dyDescent="0.25">
      <c r="A99" s="1">
        <v>39114</v>
      </c>
      <c r="B99">
        <v>2</v>
      </c>
      <c r="C99">
        <v>2.8</v>
      </c>
      <c r="D99">
        <v>2.5</v>
      </c>
      <c r="E99">
        <v>2.5</v>
      </c>
      <c r="F99">
        <v>2.34</v>
      </c>
      <c r="G99" s="2">
        <v>4.05934065934066</v>
      </c>
      <c r="H99" s="2">
        <f t="shared" si="3"/>
        <v>2.6998598683764001</v>
      </c>
      <c r="I99">
        <v>22.17</v>
      </c>
      <c r="J99">
        <v>9.4</v>
      </c>
      <c r="K99">
        <v>8.3000000000000007</v>
      </c>
      <c r="L99">
        <v>8.5</v>
      </c>
      <c r="M99" s="2">
        <v>0.11193</v>
      </c>
      <c r="N99" s="4">
        <f t="shared" si="4"/>
        <v>1.0451496567198104</v>
      </c>
      <c r="O99" s="4">
        <v>4.2504</v>
      </c>
      <c r="P99" s="2">
        <v>6.2</v>
      </c>
      <c r="Q99">
        <v>6</v>
      </c>
      <c r="R99" s="4">
        <v>4.2504</v>
      </c>
    </row>
    <row r="100" spans="1:18" x14ac:dyDescent="0.25">
      <c r="A100" s="1">
        <v>39142</v>
      </c>
      <c r="B100">
        <v>2.2999999999999998</v>
      </c>
      <c r="C100">
        <v>2.8</v>
      </c>
      <c r="D100">
        <v>2.4</v>
      </c>
      <c r="E100">
        <v>2.5</v>
      </c>
      <c r="F100">
        <v>2.44</v>
      </c>
      <c r="G100" s="2">
        <v>4.0505494505494504</v>
      </c>
      <c r="H100" s="2">
        <f t="shared" si="3"/>
        <v>2.7022749702694568</v>
      </c>
      <c r="I100">
        <v>22.040000000000006</v>
      </c>
      <c r="J100">
        <v>9.5</v>
      </c>
      <c r="K100">
        <v>8.6999999999999993</v>
      </c>
      <c r="L100">
        <v>8.8000000000000007</v>
      </c>
      <c r="M100" s="2">
        <v>0.12567999999999999</v>
      </c>
      <c r="N100" s="4">
        <f t="shared" si="4"/>
        <v>1.0385035608430844</v>
      </c>
      <c r="O100" s="4">
        <v>4.2431999999999999</v>
      </c>
      <c r="P100" s="2">
        <v>6.2</v>
      </c>
      <c r="Q100">
        <v>6</v>
      </c>
      <c r="R100" s="4">
        <v>4.2431999999999999</v>
      </c>
    </row>
    <row r="101" spans="1:18" x14ac:dyDescent="0.25">
      <c r="A101" s="1">
        <v>39173</v>
      </c>
      <c r="B101">
        <v>2.2000000000000002</v>
      </c>
      <c r="C101">
        <v>2.8</v>
      </c>
      <c r="D101">
        <v>2.5</v>
      </c>
      <c r="E101">
        <v>2.6</v>
      </c>
      <c r="F101">
        <v>2.44</v>
      </c>
      <c r="G101" s="2">
        <v>4.0417582417582398</v>
      </c>
      <c r="H101" s="2">
        <f t="shared" si="3"/>
        <v>2.7022386324469112</v>
      </c>
      <c r="I101">
        <v>25.019999999999996</v>
      </c>
      <c r="J101">
        <v>9.6999999999999993</v>
      </c>
      <c r="K101">
        <v>8.9</v>
      </c>
      <c r="L101">
        <v>8.8000000000000007</v>
      </c>
      <c r="M101" s="2">
        <v>0.12479</v>
      </c>
      <c r="N101" s="4">
        <f t="shared" si="4"/>
        <v>1.0283036533177734</v>
      </c>
      <c r="O101" s="4">
        <v>4.2470999999999997</v>
      </c>
      <c r="P101" s="2">
        <v>6.2</v>
      </c>
      <c r="Q101">
        <v>6</v>
      </c>
      <c r="R101" s="4">
        <v>4.2470999999999997</v>
      </c>
    </row>
    <row r="102" spans="1:18" x14ac:dyDescent="0.25">
      <c r="A102" s="1">
        <v>39203</v>
      </c>
      <c r="B102">
        <v>2.2000000000000002</v>
      </c>
      <c r="C102">
        <v>2.8</v>
      </c>
      <c r="D102">
        <v>2.5</v>
      </c>
      <c r="E102">
        <v>2.6</v>
      </c>
      <c r="F102">
        <v>2.37</v>
      </c>
      <c r="G102" s="2">
        <v>4.0329670329670302</v>
      </c>
      <c r="H102" s="2">
        <f t="shared" si="3"/>
        <v>2.6758148294106006</v>
      </c>
      <c r="I102">
        <v>29.360000000000014</v>
      </c>
      <c r="J102">
        <v>8.9</v>
      </c>
      <c r="K102">
        <v>9.1999999999999993</v>
      </c>
      <c r="L102">
        <v>8.9</v>
      </c>
      <c r="M102" s="2">
        <v>0.10777</v>
      </c>
      <c r="N102" s="4">
        <f t="shared" si="4"/>
        <v>1.0184755583851173</v>
      </c>
      <c r="O102" s="4">
        <v>4.2351999999999999</v>
      </c>
      <c r="P102" s="2">
        <v>6</v>
      </c>
      <c r="Q102">
        <v>6</v>
      </c>
      <c r="R102" s="4">
        <v>4.2351999999999999</v>
      </c>
    </row>
    <row r="103" spans="1:18" x14ac:dyDescent="0.25">
      <c r="A103" s="1">
        <v>39234</v>
      </c>
      <c r="B103">
        <v>2.2000000000000002</v>
      </c>
      <c r="C103">
        <v>2.9</v>
      </c>
      <c r="D103">
        <v>2.7</v>
      </c>
      <c r="E103">
        <v>2.6</v>
      </c>
      <c r="F103">
        <v>2.41</v>
      </c>
      <c r="G103" s="2">
        <v>4.0241758241758303</v>
      </c>
      <c r="H103" s="2">
        <v>3</v>
      </c>
      <c r="I103">
        <v>33.069999999999993</v>
      </c>
      <c r="J103">
        <v>9.6</v>
      </c>
      <c r="K103">
        <v>10</v>
      </c>
      <c r="L103">
        <v>9.1</v>
      </c>
      <c r="M103" s="2">
        <v>7.7619999999999995E-2</v>
      </c>
      <c r="N103" s="4">
        <f t="shared" si="4"/>
        <v>1.0080722820726686</v>
      </c>
      <c r="O103" s="4">
        <v>4.2535999999999996</v>
      </c>
      <c r="P103" s="2">
        <v>6.1</v>
      </c>
      <c r="Q103">
        <v>6</v>
      </c>
      <c r="R103" s="4">
        <v>4.2535999999999996</v>
      </c>
    </row>
    <row r="104" spans="1:18" x14ac:dyDescent="0.25">
      <c r="A104" s="1">
        <v>39264</v>
      </c>
      <c r="B104">
        <v>2.2000000000000002</v>
      </c>
      <c r="C104">
        <v>2.7</v>
      </c>
      <c r="D104">
        <v>2.6</v>
      </c>
      <c r="E104">
        <v>2.5</v>
      </c>
      <c r="F104">
        <v>2.4</v>
      </c>
      <c r="G104" s="2">
        <v>4.0153846153846198</v>
      </c>
      <c r="H104" s="2">
        <v>2.8</v>
      </c>
      <c r="I104">
        <v>33.97</v>
      </c>
      <c r="J104">
        <v>9.6999999999999993</v>
      </c>
      <c r="K104">
        <v>10.3</v>
      </c>
      <c r="L104">
        <v>9.4</v>
      </c>
      <c r="M104" s="2">
        <v>4.3189999999999999E-2</v>
      </c>
      <c r="N104" s="4">
        <f t="shared" si="4"/>
        <v>0.99877150949912563</v>
      </c>
      <c r="O104" s="4">
        <v>4.5039999999999996</v>
      </c>
      <c r="P104" s="2">
        <v>6</v>
      </c>
      <c r="Q104">
        <v>6.25</v>
      </c>
      <c r="R104" s="4">
        <v>4.5039999999999996</v>
      </c>
    </row>
    <row r="105" spans="1:18" x14ac:dyDescent="0.25">
      <c r="A105" s="1">
        <v>39295</v>
      </c>
      <c r="B105">
        <v>1.7</v>
      </c>
      <c r="C105">
        <v>2.5</v>
      </c>
      <c r="D105">
        <v>2.5</v>
      </c>
      <c r="E105">
        <v>2.4</v>
      </c>
      <c r="F105">
        <v>2.29</v>
      </c>
      <c r="G105" s="2">
        <v>4.0065934065934101</v>
      </c>
      <c r="H105" s="2">
        <v>2.5</v>
      </c>
      <c r="I105">
        <v>33.31</v>
      </c>
      <c r="J105">
        <v>9.8000000000000007</v>
      </c>
      <c r="K105">
        <v>10.5</v>
      </c>
      <c r="L105">
        <v>9.3000000000000007</v>
      </c>
      <c r="M105" s="2">
        <v>9.4999999999999998E-3</v>
      </c>
      <c r="N105" s="4">
        <f t="shared" si="4"/>
        <v>0.98926730462449686</v>
      </c>
      <c r="O105" s="4">
        <v>4.4157999999999999</v>
      </c>
      <c r="P105" s="2">
        <v>5.9</v>
      </c>
      <c r="Q105">
        <v>6.25</v>
      </c>
      <c r="R105" s="4">
        <v>4.4157999999999999</v>
      </c>
    </row>
    <row r="106" spans="1:18" x14ac:dyDescent="0.25">
      <c r="A106" s="1">
        <v>39326</v>
      </c>
      <c r="B106">
        <v>2.5</v>
      </c>
      <c r="C106">
        <v>2.5</v>
      </c>
      <c r="D106">
        <v>2.6</v>
      </c>
      <c r="E106">
        <v>2.4</v>
      </c>
      <c r="F106">
        <v>2.35</v>
      </c>
      <c r="G106" s="2">
        <v>3.9978021978022</v>
      </c>
      <c r="H106" s="2">
        <v>3.2</v>
      </c>
      <c r="I106">
        <v>36.72</v>
      </c>
      <c r="J106">
        <v>9.5</v>
      </c>
      <c r="K106">
        <v>10.199999999999999</v>
      </c>
      <c r="L106">
        <v>9.1</v>
      </c>
      <c r="M106" s="2">
        <v>-1.9709999999999998E-2</v>
      </c>
      <c r="N106" s="4">
        <f t="shared" si="4"/>
        <v>0.9808116476114952</v>
      </c>
      <c r="O106" s="4">
        <v>4.4637000000000002</v>
      </c>
      <c r="P106" s="2">
        <v>5.9</v>
      </c>
      <c r="Q106">
        <v>6.25</v>
      </c>
      <c r="R106" s="4">
        <v>4.4637000000000002</v>
      </c>
    </row>
    <row r="107" spans="1:18" x14ac:dyDescent="0.25">
      <c r="A107" s="1">
        <v>39356</v>
      </c>
      <c r="B107">
        <v>2.4</v>
      </c>
      <c r="C107">
        <v>2.2999999999999998</v>
      </c>
      <c r="D107">
        <v>2.5</v>
      </c>
      <c r="E107">
        <v>2.2999999999999998</v>
      </c>
      <c r="F107">
        <v>2.33</v>
      </c>
      <c r="G107" s="2">
        <v>3.9890109890109899</v>
      </c>
      <c r="H107" s="2">
        <v>3.3</v>
      </c>
      <c r="I107">
        <v>42.699999999999989</v>
      </c>
      <c r="J107">
        <v>7.6</v>
      </c>
      <c r="K107">
        <v>8.6</v>
      </c>
      <c r="L107">
        <v>8.5</v>
      </c>
      <c r="M107" s="2">
        <v>-3.9300000000000002E-2</v>
      </c>
      <c r="N107" s="4">
        <f t="shared" si="4"/>
        <v>0.96832518091957165</v>
      </c>
      <c r="O107" s="4">
        <v>4.5086000000000004</v>
      </c>
      <c r="P107" s="2">
        <v>5.9</v>
      </c>
      <c r="Q107">
        <v>6.25</v>
      </c>
      <c r="R107" s="4">
        <v>4.5086000000000004</v>
      </c>
    </row>
    <row r="108" spans="1:18" x14ac:dyDescent="0.25">
      <c r="A108" s="1">
        <v>39387</v>
      </c>
      <c r="B108">
        <v>2.5</v>
      </c>
      <c r="C108">
        <v>2.2000000000000002</v>
      </c>
      <c r="D108">
        <v>2.2999999999999998</v>
      </c>
      <c r="E108">
        <v>2.1</v>
      </c>
      <c r="F108">
        <v>2.09</v>
      </c>
      <c r="G108" s="2">
        <v>3.9802197802197798</v>
      </c>
      <c r="H108" s="2">
        <v>3.5</v>
      </c>
      <c r="I108">
        <v>42.680000000000007</v>
      </c>
      <c r="J108">
        <v>6.8</v>
      </c>
      <c r="K108">
        <v>7.8</v>
      </c>
      <c r="L108">
        <v>8.3000000000000007</v>
      </c>
      <c r="M108" s="2">
        <v>-4.7329999999999997E-2</v>
      </c>
      <c r="N108" s="4">
        <f t="shared" si="4"/>
        <v>0.95707421630046263</v>
      </c>
      <c r="O108" s="4">
        <v>4.5105000000000004</v>
      </c>
      <c r="P108" s="2">
        <v>6.1</v>
      </c>
      <c r="Q108">
        <v>6.25</v>
      </c>
      <c r="R108" s="4">
        <v>4.5105000000000004</v>
      </c>
    </row>
    <row r="109" spans="1:18" x14ac:dyDescent="0.25">
      <c r="A109" s="1">
        <v>39417</v>
      </c>
      <c r="B109">
        <v>2.4</v>
      </c>
      <c r="C109">
        <v>2.2000000000000002</v>
      </c>
      <c r="D109">
        <v>2.4</v>
      </c>
      <c r="E109">
        <v>2.2000000000000002</v>
      </c>
      <c r="F109">
        <v>2.19</v>
      </c>
      <c r="G109" s="2">
        <v>3.9714285714285702</v>
      </c>
      <c r="H109" s="2">
        <v>3.8</v>
      </c>
      <c r="I109">
        <v>37.900000000000006</v>
      </c>
      <c r="J109">
        <v>7</v>
      </c>
      <c r="K109">
        <v>7.8</v>
      </c>
      <c r="L109">
        <v>8.5</v>
      </c>
      <c r="M109" s="2">
        <v>-4.3450000000000003E-2</v>
      </c>
      <c r="N109" s="4">
        <f t="shared" si="4"/>
        <v>0.94605650695182797</v>
      </c>
      <c r="O109" s="4">
        <v>4.2596999999999996</v>
      </c>
      <c r="P109" s="2">
        <v>6.1</v>
      </c>
      <c r="Q109">
        <v>6</v>
      </c>
      <c r="R109" s="4">
        <v>4.2596999999999996</v>
      </c>
    </row>
    <row r="110" spans="1:18" x14ac:dyDescent="0.25">
      <c r="A110" s="1">
        <v>39448</v>
      </c>
      <c r="B110">
        <v>2.2000000000000002</v>
      </c>
      <c r="C110">
        <v>2.2999999999999998</v>
      </c>
      <c r="D110">
        <v>2.5</v>
      </c>
      <c r="E110">
        <v>2.4</v>
      </c>
      <c r="F110">
        <v>2.21</v>
      </c>
      <c r="G110">
        <v>4.5999999999999996</v>
      </c>
      <c r="H110">
        <v>4</v>
      </c>
      <c r="I110">
        <v>36.06</v>
      </c>
      <c r="J110">
        <v>7.5</v>
      </c>
      <c r="K110">
        <v>8.1999999999999993</v>
      </c>
      <c r="L110">
        <v>8.9</v>
      </c>
      <c r="M110" s="2">
        <v>-2.8170000000000001E-2</v>
      </c>
      <c r="N110" s="4">
        <f t="shared" si="4"/>
        <v>0.93209967057402932</v>
      </c>
      <c r="O110" s="4">
        <v>4.0060000000000002</v>
      </c>
      <c r="P110" s="2">
        <v>5.9</v>
      </c>
      <c r="Q110">
        <v>5.75</v>
      </c>
      <c r="R110" s="4">
        <v>4.0060000000000002</v>
      </c>
    </row>
    <row r="111" spans="1:18" x14ac:dyDescent="0.25">
      <c r="A111" s="1">
        <v>39479</v>
      </c>
      <c r="B111">
        <v>1.8</v>
      </c>
      <c r="C111">
        <v>2.2000000000000002</v>
      </c>
      <c r="D111">
        <v>2.5</v>
      </c>
      <c r="E111">
        <v>2.2999999999999998</v>
      </c>
      <c r="F111">
        <v>2.2400000000000002</v>
      </c>
      <c r="G111">
        <v>4.7</v>
      </c>
      <c r="H111">
        <v>4.5999999999999996</v>
      </c>
      <c r="I111">
        <v>37.22</v>
      </c>
      <c r="J111">
        <v>7.2</v>
      </c>
      <c r="K111">
        <v>8.4</v>
      </c>
      <c r="L111">
        <v>8.8000000000000007</v>
      </c>
      <c r="M111" s="2">
        <v>-3.8500000000000001E-3</v>
      </c>
      <c r="N111" s="4">
        <f t="shared" si="4"/>
        <v>0.91899853709810608</v>
      </c>
      <c r="O111" s="4">
        <v>3.9994000000000001</v>
      </c>
      <c r="P111" s="2">
        <v>6</v>
      </c>
      <c r="Q111">
        <v>5.75</v>
      </c>
      <c r="R111" s="4">
        <v>3.9994000000000001</v>
      </c>
    </row>
    <row r="112" spans="1:18" x14ac:dyDescent="0.25">
      <c r="A112" s="1">
        <v>39508</v>
      </c>
      <c r="B112">
        <v>1.4</v>
      </c>
      <c r="C112">
        <v>2</v>
      </c>
      <c r="D112">
        <v>2.4</v>
      </c>
      <c r="E112">
        <v>2.1</v>
      </c>
      <c r="F112">
        <v>2.29</v>
      </c>
      <c r="G112">
        <v>4.5999999999999996</v>
      </c>
      <c r="H112">
        <v>3.8</v>
      </c>
      <c r="I112">
        <v>35.06</v>
      </c>
      <c r="J112">
        <v>7.1</v>
      </c>
      <c r="K112">
        <v>8.6999999999999993</v>
      </c>
      <c r="L112">
        <v>8.8000000000000007</v>
      </c>
      <c r="M112" s="2">
        <v>2.4379999999999999E-2</v>
      </c>
      <c r="N112" s="4">
        <f t="shared" si="4"/>
        <v>0.90592958458212736</v>
      </c>
      <c r="O112" s="4">
        <v>3.4584999999999999</v>
      </c>
      <c r="P112" s="2">
        <v>6.2</v>
      </c>
      <c r="Q112">
        <v>5.25</v>
      </c>
      <c r="R112" s="4">
        <v>3.4584999999999999</v>
      </c>
    </row>
    <row r="113" spans="1:18" x14ac:dyDescent="0.25">
      <c r="A113" s="1">
        <v>39539</v>
      </c>
      <c r="B113">
        <v>1.7</v>
      </c>
      <c r="C113">
        <v>2.2999999999999998</v>
      </c>
      <c r="D113">
        <v>2.5</v>
      </c>
      <c r="E113">
        <v>2.2999999999999998</v>
      </c>
      <c r="F113">
        <v>2.36</v>
      </c>
      <c r="G113">
        <v>4.3</v>
      </c>
      <c r="H113">
        <v>4.0999999999999996</v>
      </c>
      <c r="I113">
        <v>33.03</v>
      </c>
      <c r="J113">
        <v>6.9</v>
      </c>
      <c r="K113">
        <v>9</v>
      </c>
      <c r="L113">
        <v>8.8000000000000007</v>
      </c>
      <c r="M113" s="2">
        <v>4.6929999999999999E-2</v>
      </c>
      <c r="N113" s="4">
        <f t="shared" si="4"/>
        <v>0.89438063293294434</v>
      </c>
      <c r="O113" s="4">
        <v>3.0297999999999998</v>
      </c>
      <c r="P113" s="2">
        <v>6.1</v>
      </c>
      <c r="Q113">
        <v>4.75</v>
      </c>
      <c r="R113" s="4">
        <v>3.0297999999999998</v>
      </c>
    </row>
    <row r="114" spans="1:18" x14ac:dyDescent="0.25">
      <c r="A114" s="1">
        <v>39569</v>
      </c>
      <c r="B114">
        <v>2.2000000000000002</v>
      </c>
      <c r="C114">
        <v>2.2999999999999998</v>
      </c>
      <c r="D114">
        <v>2.4</v>
      </c>
      <c r="E114">
        <v>2.4</v>
      </c>
      <c r="F114">
        <v>2.5499999999999998</v>
      </c>
      <c r="G114">
        <v>4.8</v>
      </c>
      <c r="H114">
        <v>3.1</v>
      </c>
      <c r="I114">
        <v>35.419999999999987</v>
      </c>
      <c r="J114">
        <v>8.1999999999999993</v>
      </c>
      <c r="K114">
        <v>9.5</v>
      </c>
      <c r="L114">
        <v>9</v>
      </c>
      <c r="M114" s="2">
        <v>5.4210000000000001E-2</v>
      </c>
      <c r="N114" s="4">
        <f t="shared" si="4"/>
        <v>0.88352678580938893</v>
      </c>
      <c r="O114" s="4">
        <v>2.9988000000000001</v>
      </c>
      <c r="P114" s="2">
        <v>6.1</v>
      </c>
      <c r="Q114">
        <v>4.75</v>
      </c>
      <c r="R114" s="4">
        <v>2.9988000000000001</v>
      </c>
    </row>
    <row r="115" spans="1:18" x14ac:dyDescent="0.25">
      <c r="A115" s="1">
        <v>39600</v>
      </c>
      <c r="B115">
        <v>3.1</v>
      </c>
      <c r="C115">
        <v>2.2999999999999998</v>
      </c>
      <c r="D115">
        <v>2.5</v>
      </c>
      <c r="E115">
        <v>2.6</v>
      </c>
      <c r="F115">
        <v>2.6</v>
      </c>
      <c r="G115">
        <v>4.0999999999999996</v>
      </c>
      <c r="H115">
        <v>2.2999999999999998</v>
      </c>
      <c r="I115">
        <v>33.090000000000003</v>
      </c>
      <c r="J115">
        <v>7.9</v>
      </c>
      <c r="K115">
        <v>9.1</v>
      </c>
      <c r="L115">
        <v>8.9</v>
      </c>
      <c r="M115" s="2">
        <v>3.508E-2</v>
      </c>
      <c r="N115" s="4">
        <f t="shared" si="4"/>
        <v>0.87266000303384339</v>
      </c>
      <c r="O115" s="4">
        <v>2.9914999999999998</v>
      </c>
      <c r="P115" s="2">
        <v>6.1</v>
      </c>
      <c r="Q115">
        <v>4.75</v>
      </c>
      <c r="R115" s="4">
        <v>2.9914999999999998</v>
      </c>
    </row>
    <row r="116" spans="1:18" x14ac:dyDescent="0.25">
      <c r="A116" s="1">
        <v>39630</v>
      </c>
      <c r="B116">
        <v>3.4</v>
      </c>
      <c r="C116">
        <v>2.4</v>
      </c>
      <c r="D116">
        <v>2.6</v>
      </c>
      <c r="E116">
        <v>2.6</v>
      </c>
      <c r="F116">
        <v>2.56</v>
      </c>
      <c r="G116">
        <v>3.7</v>
      </c>
      <c r="H116">
        <v>2.2999999999999998</v>
      </c>
      <c r="I116">
        <v>33.02000000000001</v>
      </c>
      <c r="J116">
        <v>7.3</v>
      </c>
      <c r="K116">
        <v>8.6</v>
      </c>
      <c r="L116">
        <v>8.5</v>
      </c>
      <c r="M116" s="2">
        <v>-2.3550000000000001E-2</v>
      </c>
      <c r="N116" s="4">
        <f t="shared" si="4"/>
        <v>0.86250950308344032</v>
      </c>
      <c r="O116" s="4">
        <v>3.0194999999999999</v>
      </c>
      <c r="P116" s="2">
        <v>6.1</v>
      </c>
      <c r="Q116">
        <v>4.75</v>
      </c>
      <c r="R116" s="4">
        <v>3.0194999999999999</v>
      </c>
    </row>
    <row r="117" spans="1:18" x14ac:dyDescent="0.25">
      <c r="A117" s="1">
        <v>39661</v>
      </c>
      <c r="B117">
        <v>3.5</v>
      </c>
      <c r="C117">
        <v>2.6</v>
      </c>
      <c r="D117">
        <v>2.7</v>
      </c>
      <c r="E117">
        <v>2.8</v>
      </c>
      <c r="F117">
        <v>2.48</v>
      </c>
      <c r="G117">
        <v>3.9</v>
      </c>
      <c r="H117">
        <v>2.7</v>
      </c>
      <c r="I117">
        <v>29.400000000000006</v>
      </c>
      <c r="J117">
        <v>7.4</v>
      </c>
      <c r="K117">
        <v>8.6</v>
      </c>
      <c r="L117">
        <v>8.5</v>
      </c>
      <c r="M117" s="2">
        <v>-0.12506999999999999</v>
      </c>
      <c r="N117" s="4">
        <f t="shared" si="4"/>
        <v>0.85299512585348358</v>
      </c>
      <c r="O117" s="4">
        <v>3.0003000000000002</v>
      </c>
      <c r="P117" s="2">
        <v>6.1</v>
      </c>
      <c r="Q117">
        <v>4.75</v>
      </c>
      <c r="R117" s="4">
        <v>3.0003000000000002</v>
      </c>
    </row>
    <row r="118" spans="1:18" x14ac:dyDescent="0.25">
      <c r="A118" s="1">
        <v>39692</v>
      </c>
      <c r="B118">
        <v>3.4</v>
      </c>
      <c r="C118">
        <v>2.5</v>
      </c>
      <c r="D118">
        <v>2.6</v>
      </c>
      <c r="E118">
        <v>3.1</v>
      </c>
      <c r="F118">
        <v>2.0699999999999998</v>
      </c>
      <c r="G118">
        <v>4.3</v>
      </c>
      <c r="H118">
        <v>2.1</v>
      </c>
      <c r="I118">
        <v>30.75</v>
      </c>
      <c r="J118">
        <v>8.1999999999999993</v>
      </c>
      <c r="K118">
        <v>9.4</v>
      </c>
      <c r="L118">
        <v>8.6999999999999993</v>
      </c>
      <c r="M118" s="2">
        <v>-0.25892999999999999</v>
      </c>
      <c r="N118" s="4">
        <f t="shared" si="4"/>
        <v>0.84441710199583975</v>
      </c>
      <c r="O118" s="4">
        <v>2.9904000000000002</v>
      </c>
      <c r="P118" s="2">
        <v>6.1</v>
      </c>
      <c r="Q118">
        <v>4.75</v>
      </c>
      <c r="R118" s="4">
        <v>2.9904000000000002</v>
      </c>
    </row>
    <row r="119" spans="1:18" x14ac:dyDescent="0.25">
      <c r="A119" s="1">
        <v>39722</v>
      </c>
      <c r="B119">
        <v>2.6</v>
      </c>
      <c r="C119">
        <v>2.5</v>
      </c>
      <c r="D119">
        <v>2.6</v>
      </c>
      <c r="E119">
        <v>3</v>
      </c>
      <c r="F119">
        <v>1.78</v>
      </c>
      <c r="G119">
        <v>4.2</v>
      </c>
      <c r="H119">
        <v>2.8</v>
      </c>
      <c r="I119">
        <v>20.260000000000005</v>
      </c>
      <c r="J119">
        <v>10.7</v>
      </c>
      <c r="K119">
        <v>11.1</v>
      </c>
      <c r="L119">
        <v>9.1</v>
      </c>
      <c r="M119" s="2">
        <v>-0.39351999999999998</v>
      </c>
      <c r="N119" s="4">
        <f t="shared" si="4"/>
        <v>0.83595459626166102</v>
      </c>
      <c r="O119" s="4">
        <v>2.2522000000000002</v>
      </c>
      <c r="P119" s="2">
        <v>6.2</v>
      </c>
      <c r="Q119">
        <v>4</v>
      </c>
      <c r="R119" s="4">
        <v>2.2522000000000002</v>
      </c>
    </row>
    <row r="120" spans="1:18" x14ac:dyDescent="0.25">
      <c r="A120" s="1">
        <v>39753</v>
      </c>
      <c r="B120">
        <v>2</v>
      </c>
      <c r="C120">
        <v>2.7</v>
      </c>
      <c r="D120">
        <v>2.7</v>
      </c>
      <c r="E120">
        <v>3.3</v>
      </c>
      <c r="F120">
        <v>1.26</v>
      </c>
      <c r="G120">
        <v>4.5999999999999996</v>
      </c>
      <c r="H120">
        <v>2.9</v>
      </c>
      <c r="I120">
        <v>18.319999999999993</v>
      </c>
      <c r="J120">
        <v>11.8</v>
      </c>
      <c r="K120">
        <v>12.6</v>
      </c>
      <c r="L120">
        <v>9.6</v>
      </c>
      <c r="M120" s="2">
        <v>-0.51049999999999995</v>
      </c>
      <c r="N120" s="4">
        <f t="shared" si="4"/>
        <v>0.82840203012102576</v>
      </c>
      <c r="O120" s="4">
        <v>2.2448000000000001</v>
      </c>
      <c r="P120" s="2">
        <v>6.6</v>
      </c>
      <c r="Q120">
        <v>4</v>
      </c>
      <c r="R120" s="4">
        <v>2.2448000000000001</v>
      </c>
    </row>
    <row r="121" spans="1:18" x14ac:dyDescent="0.25">
      <c r="A121" s="1">
        <v>39783</v>
      </c>
      <c r="B121">
        <v>1.2</v>
      </c>
      <c r="C121">
        <v>2.6</v>
      </c>
      <c r="D121">
        <v>2.7</v>
      </c>
      <c r="E121">
        <v>3.2</v>
      </c>
      <c r="F121">
        <v>1.35</v>
      </c>
      <c r="G121">
        <v>4.2</v>
      </c>
      <c r="H121">
        <v>4.0999999999999996</v>
      </c>
      <c r="I121">
        <v>15.870000000000005</v>
      </c>
      <c r="J121">
        <v>12.2</v>
      </c>
      <c r="K121">
        <v>13.5</v>
      </c>
      <c r="L121">
        <v>9.5</v>
      </c>
      <c r="M121" s="2">
        <v>-0.59523000000000004</v>
      </c>
      <c r="N121" s="4">
        <f t="shared" si="4"/>
        <v>0.82156833130855755</v>
      </c>
      <c r="O121" s="4">
        <v>1.5017</v>
      </c>
      <c r="P121" s="2">
        <v>6.9</v>
      </c>
      <c r="Q121">
        <v>3.5</v>
      </c>
      <c r="R121" s="4">
        <v>1.5017</v>
      </c>
    </row>
    <row r="122" spans="1:18" x14ac:dyDescent="0.25">
      <c r="A122" s="1">
        <v>39814</v>
      </c>
      <c r="B122">
        <v>1.1000000000000001</v>
      </c>
      <c r="C122">
        <v>2.4</v>
      </c>
      <c r="D122">
        <v>2.5</v>
      </c>
      <c r="E122">
        <v>3.1</v>
      </c>
      <c r="F122">
        <v>1.46</v>
      </c>
      <c r="G122">
        <v>5</v>
      </c>
      <c r="H122">
        <v>3.9</v>
      </c>
      <c r="I122">
        <v>17.03</v>
      </c>
      <c r="J122">
        <v>11.8</v>
      </c>
      <c r="K122">
        <v>14.5</v>
      </c>
      <c r="L122">
        <v>9.1999999999999993</v>
      </c>
      <c r="M122" s="2">
        <v>-0.62839</v>
      </c>
      <c r="N122" s="4">
        <f t="shared" si="4"/>
        <v>0.81514295640407086</v>
      </c>
      <c r="O122" s="4">
        <v>1.0044</v>
      </c>
      <c r="P122" s="2">
        <v>7.4</v>
      </c>
      <c r="Q122">
        <v>3</v>
      </c>
      <c r="R122" s="4">
        <v>1.0044</v>
      </c>
    </row>
    <row r="123" spans="1:18" x14ac:dyDescent="0.25">
      <c r="A123" s="1">
        <v>39845</v>
      </c>
      <c r="B123">
        <v>1.4</v>
      </c>
      <c r="C123">
        <v>2.4</v>
      </c>
      <c r="D123">
        <v>2.5</v>
      </c>
      <c r="E123">
        <v>3.1</v>
      </c>
      <c r="F123">
        <v>1.5</v>
      </c>
      <c r="G123">
        <v>3.8</v>
      </c>
      <c r="H123">
        <v>3.6</v>
      </c>
      <c r="I123">
        <v>16.650000000000006</v>
      </c>
      <c r="J123">
        <v>11.4</v>
      </c>
      <c r="K123">
        <v>14.8</v>
      </c>
      <c r="L123">
        <v>9.1999999999999993</v>
      </c>
      <c r="M123" s="2">
        <v>-0.60412999999999994</v>
      </c>
      <c r="N123" s="4">
        <f t="shared" si="4"/>
        <v>0.8094755516416603</v>
      </c>
      <c r="O123" s="4">
        <v>0.99780000000000002</v>
      </c>
      <c r="P123" s="2">
        <v>8</v>
      </c>
      <c r="Q123">
        <v>3</v>
      </c>
      <c r="R123" s="4">
        <v>0.99780000000000002</v>
      </c>
    </row>
    <row r="124" spans="1:18" x14ac:dyDescent="0.25">
      <c r="A124" s="1">
        <v>39873</v>
      </c>
      <c r="B124">
        <v>1.2</v>
      </c>
      <c r="C124">
        <v>2.4</v>
      </c>
      <c r="D124">
        <v>2.5</v>
      </c>
      <c r="E124">
        <v>3.3</v>
      </c>
      <c r="F124">
        <v>1.74</v>
      </c>
      <c r="G124">
        <v>4.3</v>
      </c>
      <c r="H124">
        <v>3.2</v>
      </c>
      <c r="I124">
        <v>15.049999999999997</v>
      </c>
      <c r="J124">
        <v>11.7</v>
      </c>
      <c r="K124">
        <v>15.2</v>
      </c>
      <c r="L124">
        <v>9.1</v>
      </c>
      <c r="M124" s="2">
        <v>-0.52798</v>
      </c>
      <c r="N124" s="4">
        <f t="shared" si="4"/>
        <v>0.80366181025913086</v>
      </c>
      <c r="O124" s="4">
        <v>0.48830000000000001</v>
      </c>
      <c r="P124" s="2">
        <v>8.1999999999999993</v>
      </c>
      <c r="Q124">
        <v>2.5</v>
      </c>
      <c r="R124" s="4">
        <v>0.48830000000000001</v>
      </c>
    </row>
    <row r="125" spans="1:18" x14ac:dyDescent="0.25">
      <c r="A125" s="1">
        <v>39904</v>
      </c>
      <c r="B125">
        <v>0.4</v>
      </c>
      <c r="C125">
        <v>2</v>
      </c>
      <c r="D125">
        <v>2.2000000000000002</v>
      </c>
      <c r="E125">
        <v>3.1</v>
      </c>
      <c r="F125">
        <v>1.81</v>
      </c>
      <c r="G125">
        <v>4</v>
      </c>
      <c r="H125">
        <v>3.4</v>
      </c>
      <c r="I125">
        <v>17.39</v>
      </c>
      <c r="J125">
        <v>12.3</v>
      </c>
      <c r="K125">
        <v>15.9</v>
      </c>
      <c r="L125">
        <v>9.1</v>
      </c>
      <c r="M125" s="2">
        <v>-0.41902</v>
      </c>
      <c r="N125" s="4">
        <f t="shared" si="4"/>
        <v>0.79886016781823876</v>
      </c>
      <c r="O125" s="4">
        <v>0.248</v>
      </c>
      <c r="P125" s="2">
        <v>8.3000000000000007</v>
      </c>
      <c r="Q125">
        <v>2.25</v>
      </c>
      <c r="R125" s="4">
        <v>0.248</v>
      </c>
    </row>
    <row r="126" spans="1:18" x14ac:dyDescent="0.25">
      <c r="A126" s="1">
        <v>39934</v>
      </c>
      <c r="B126">
        <v>0.1</v>
      </c>
      <c r="C126">
        <v>2</v>
      </c>
      <c r="D126">
        <v>2.2000000000000002</v>
      </c>
      <c r="E126">
        <v>3.2</v>
      </c>
      <c r="F126">
        <v>1.85</v>
      </c>
      <c r="G126">
        <v>3.2</v>
      </c>
      <c r="H126">
        <v>3.5</v>
      </c>
      <c r="I126">
        <v>23.189999999999998</v>
      </c>
      <c r="J126">
        <v>11.3</v>
      </c>
      <c r="K126">
        <v>16.3</v>
      </c>
      <c r="L126">
        <v>8.8000000000000007</v>
      </c>
      <c r="M126" s="2">
        <v>-0.28874</v>
      </c>
      <c r="N126" s="4">
        <f t="shared" si="4"/>
        <v>0.79460223366709837</v>
      </c>
      <c r="O126" s="4">
        <v>0.2432</v>
      </c>
      <c r="P126" s="2">
        <v>8.6999999999999993</v>
      </c>
      <c r="Q126">
        <v>2.25</v>
      </c>
      <c r="R126" s="4">
        <v>0.2432</v>
      </c>
    </row>
    <row r="127" spans="1:18" x14ac:dyDescent="0.25">
      <c r="A127" s="1">
        <v>39965</v>
      </c>
      <c r="B127">
        <v>-0.3</v>
      </c>
      <c r="C127">
        <v>1.9</v>
      </c>
      <c r="D127">
        <v>2.1</v>
      </c>
      <c r="E127">
        <v>3.1</v>
      </c>
      <c r="F127">
        <v>2</v>
      </c>
      <c r="G127">
        <v>3.5</v>
      </c>
      <c r="H127">
        <v>3.7</v>
      </c>
      <c r="I127">
        <v>25.129999999999995</v>
      </c>
      <c r="J127">
        <v>11.3</v>
      </c>
      <c r="K127">
        <v>16.8</v>
      </c>
      <c r="L127">
        <v>8.6</v>
      </c>
      <c r="M127" s="2">
        <v>-0.14907999999999999</v>
      </c>
      <c r="N127" s="4">
        <f t="shared" si="4"/>
        <v>0.81403677392047058</v>
      </c>
      <c r="O127" s="4">
        <v>0.2412</v>
      </c>
      <c r="P127" s="2">
        <v>8.6999999999999993</v>
      </c>
      <c r="Q127">
        <v>2.25</v>
      </c>
      <c r="R127" s="4">
        <v>0.2412</v>
      </c>
    </row>
    <row r="128" spans="1:18" x14ac:dyDescent="0.25">
      <c r="A128" s="1">
        <v>39995</v>
      </c>
      <c r="B128">
        <v>-0.9</v>
      </c>
      <c r="C128">
        <v>1.6</v>
      </c>
      <c r="D128">
        <v>1.9</v>
      </c>
      <c r="E128">
        <v>2.8</v>
      </c>
      <c r="F128">
        <v>2.16</v>
      </c>
      <c r="G128">
        <v>3.5</v>
      </c>
      <c r="H128">
        <v>3.1</v>
      </c>
      <c r="I128">
        <v>25.36</v>
      </c>
      <c r="J128">
        <v>12.6</v>
      </c>
      <c r="K128">
        <v>18.8</v>
      </c>
      <c r="L128">
        <v>8.6</v>
      </c>
      <c r="M128" s="2">
        <v>-2.2020000000000001E-2</v>
      </c>
      <c r="N128" s="4">
        <f t="shared" si="4"/>
        <v>0.83262139953767234</v>
      </c>
      <c r="O128" s="4">
        <v>0.2417</v>
      </c>
      <c r="P128" s="2">
        <v>8.6999999999999993</v>
      </c>
      <c r="Q128">
        <v>2.25</v>
      </c>
      <c r="R128" s="4">
        <v>0.2417</v>
      </c>
    </row>
    <row r="129" spans="1:18" x14ac:dyDescent="0.25">
      <c r="A129" s="1">
        <v>40026</v>
      </c>
      <c r="B129">
        <v>-0.8</v>
      </c>
      <c r="C129">
        <v>1.5</v>
      </c>
      <c r="D129">
        <v>1.7</v>
      </c>
      <c r="E129">
        <v>2.4</v>
      </c>
      <c r="F129">
        <v>2.08</v>
      </c>
      <c r="G129">
        <v>2.8</v>
      </c>
      <c r="H129">
        <v>2.5</v>
      </c>
      <c r="I129">
        <v>28.509999999999991</v>
      </c>
      <c r="J129">
        <v>13.6</v>
      </c>
      <c r="K129">
        <v>20</v>
      </c>
      <c r="L129">
        <v>8.6</v>
      </c>
      <c r="M129" s="2">
        <v>8.455E-2</v>
      </c>
      <c r="N129" s="4">
        <f t="shared" si="4"/>
        <v>0.8500846664503876</v>
      </c>
      <c r="O129" s="4">
        <v>0.24249999999999999</v>
      </c>
      <c r="P129" s="2">
        <v>8.6</v>
      </c>
      <c r="Q129">
        <v>2.25</v>
      </c>
      <c r="R129" s="4">
        <v>0.24249999999999999</v>
      </c>
    </row>
    <row r="130" spans="1:18" x14ac:dyDescent="0.25">
      <c r="A130" s="1">
        <v>40057</v>
      </c>
      <c r="B130">
        <v>-0.9</v>
      </c>
      <c r="C130">
        <v>1.3</v>
      </c>
      <c r="D130">
        <v>1.7</v>
      </c>
      <c r="E130">
        <v>2.4</v>
      </c>
      <c r="F130">
        <v>2.1</v>
      </c>
      <c r="G130">
        <v>2.7</v>
      </c>
      <c r="H130">
        <v>4.4000000000000004</v>
      </c>
      <c r="I130">
        <v>28.699999999999989</v>
      </c>
      <c r="J130">
        <v>13</v>
      </c>
      <c r="K130">
        <v>20</v>
      </c>
      <c r="L130">
        <v>8.3000000000000007</v>
      </c>
      <c r="M130" s="2">
        <v>0.16764999999999999</v>
      </c>
      <c r="N130" s="4">
        <f t="shared" si="4"/>
        <v>0.86642113425119915</v>
      </c>
      <c r="O130" s="4">
        <v>0.2417</v>
      </c>
      <c r="P130" s="2">
        <v>8.4</v>
      </c>
      <c r="Q130">
        <v>2.25</v>
      </c>
      <c r="R130" s="4">
        <v>0.2417</v>
      </c>
    </row>
    <row r="131" spans="1:18" x14ac:dyDescent="0.25">
      <c r="A131" s="1">
        <v>40087</v>
      </c>
      <c r="B131">
        <v>0.1</v>
      </c>
      <c r="C131">
        <v>1.4</v>
      </c>
      <c r="D131">
        <v>1.7</v>
      </c>
      <c r="E131">
        <v>2.4</v>
      </c>
      <c r="F131">
        <v>2.33</v>
      </c>
      <c r="G131">
        <v>3.3</v>
      </c>
      <c r="H131">
        <v>3.5</v>
      </c>
      <c r="I131">
        <v>31.110000000000014</v>
      </c>
      <c r="J131">
        <v>12.9</v>
      </c>
      <c r="K131">
        <v>20.5</v>
      </c>
      <c r="L131">
        <v>8</v>
      </c>
      <c r="M131" s="2">
        <v>0.22137999999999999</v>
      </c>
      <c r="N131" s="4">
        <f t="shared" si="4"/>
        <v>0.88228387427085631</v>
      </c>
      <c r="O131" s="4">
        <v>0.24030000000000001</v>
      </c>
      <c r="P131" s="2">
        <v>8.5</v>
      </c>
      <c r="Q131">
        <v>2.25</v>
      </c>
      <c r="R131" s="4">
        <v>0.24030000000000001</v>
      </c>
    </row>
    <row r="132" spans="1:18" x14ac:dyDescent="0.25">
      <c r="A132" s="1">
        <v>40118</v>
      </c>
      <c r="B132">
        <v>1</v>
      </c>
      <c r="C132">
        <v>1.4</v>
      </c>
      <c r="D132">
        <v>1.8</v>
      </c>
      <c r="E132">
        <v>2.1</v>
      </c>
      <c r="F132">
        <v>2.29</v>
      </c>
      <c r="G132">
        <v>2</v>
      </c>
      <c r="H132">
        <v>3.1</v>
      </c>
      <c r="I132">
        <v>30.069999999999993</v>
      </c>
      <c r="J132">
        <v>12.8</v>
      </c>
      <c r="K132">
        <v>19.899999999999999</v>
      </c>
      <c r="L132">
        <v>7.4</v>
      </c>
      <c r="M132" s="2">
        <v>0.24673999999999999</v>
      </c>
      <c r="N132" s="4">
        <f t="shared" si="4"/>
        <v>0.89735637838132121</v>
      </c>
      <c r="O132" s="4">
        <v>0.24349999999999999</v>
      </c>
      <c r="P132" s="2">
        <v>8.5</v>
      </c>
      <c r="Q132">
        <v>2.25</v>
      </c>
      <c r="R132" s="4">
        <v>0.24349999999999999</v>
      </c>
    </row>
    <row r="133" spans="1:18" x14ac:dyDescent="0.25">
      <c r="A133" s="1">
        <v>40148</v>
      </c>
      <c r="B133">
        <v>1.3</v>
      </c>
      <c r="C133">
        <v>1.3</v>
      </c>
      <c r="D133">
        <v>1.7</v>
      </c>
      <c r="E133">
        <v>1.9</v>
      </c>
      <c r="F133">
        <v>2.5499999999999998</v>
      </c>
      <c r="G133">
        <v>2.4</v>
      </c>
      <c r="H133">
        <v>3</v>
      </c>
      <c r="I133">
        <v>31.169999999999987</v>
      </c>
      <c r="J133">
        <v>12.2</v>
      </c>
      <c r="K133">
        <v>18.600000000000001</v>
      </c>
      <c r="L133">
        <v>6.6</v>
      </c>
      <c r="M133" s="2">
        <v>0.24754000000000001</v>
      </c>
      <c r="N133" s="4">
        <f t="shared" si="4"/>
        <v>0.91198779614018666</v>
      </c>
      <c r="O133" s="4">
        <v>0.2455</v>
      </c>
      <c r="P133" s="2">
        <v>8.5</v>
      </c>
      <c r="Q133">
        <v>2.25</v>
      </c>
      <c r="R133" s="4">
        <v>0.2455</v>
      </c>
    </row>
    <row r="134" spans="1:18" x14ac:dyDescent="0.25">
      <c r="A134" s="1">
        <v>40179</v>
      </c>
      <c r="B134">
        <v>1.9</v>
      </c>
      <c r="C134">
        <v>1.3</v>
      </c>
      <c r="D134">
        <v>1.7</v>
      </c>
      <c r="E134">
        <v>1.8</v>
      </c>
      <c r="F134">
        <v>2.41</v>
      </c>
      <c r="G134">
        <v>1.9</v>
      </c>
      <c r="H134">
        <v>2.7</v>
      </c>
      <c r="I134">
        <v>32.94</v>
      </c>
      <c r="J134">
        <v>12.2</v>
      </c>
      <c r="K134">
        <v>17</v>
      </c>
      <c r="L134">
        <v>5.8</v>
      </c>
      <c r="M134" s="2">
        <v>0.22828000000000001</v>
      </c>
      <c r="N134" s="4">
        <f t="shared" si="4"/>
        <v>0.92627969102269503</v>
      </c>
      <c r="O134" s="4">
        <v>0.2442</v>
      </c>
      <c r="P134" s="2">
        <v>8.3000000000000007</v>
      </c>
      <c r="Q134">
        <v>2.25</v>
      </c>
      <c r="R134" s="4">
        <v>0.2442</v>
      </c>
    </row>
    <row r="135" spans="1:18" x14ac:dyDescent="0.25">
      <c r="A135" s="1">
        <v>40210</v>
      </c>
      <c r="B135">
        <v>1.6</v>
      </c>
      <c r="C135">
        <v>1.3</v>
      </c>
      <c r="D135">
        <v>1.7</v>
      </c>
      <c r="E135">
        <v>1.7</v>
      </c>
      <c r="F135">
        <v>2.46</v>
      </c>
      <c r="G135">
        <v>2.4</v>
      </c>
      <c r="H135">
        <v>2.9</v>
      </c>
      <c r="I135">
        <v>32.28</v>
      </c>
      <c r="J135">
        <v>13.6</v>
      </c>
      <c r="K135">
        <v>17.399999999999999</v>
      </c>
      <c r="L135">
        <v>5.7</v>
      </c>
      <c r="M135" s="2">
        <v>0.19502</v>
      </c>
      <c r="N135" s="4">
        <f t="shared" si="4"/>
        <v>0.93972325668034451</v>
      </c>
      <c r="O135" s="4">
        <v>0.24759999999999999</v>
      </c>
      <c r="P135" s="2">
        <v>8.3000000000000007</v>
      </c>
      <c r="Q135">
        <v>2.25</v>
      </c>
      <c r="R135" s="4">
        <v>0.24759999999999999</v>
      </c>
    </row>
    <row r="136" spans="1:18" x14ac:dyDescent="0.25">
      <c r="A136" s="1">
        <v>40238</v>
      </c>
      <c r="B136">
        <v>1.4</v>
      </c>
      <c r="C136">
        <v>1.1000000000000001</v>
      </c>
      <c r="D136">
        <v>1.5</v>
      </c>
      <c r="E136">
        <v>1.5</v>
      </c>
      <c r="F136">
        <v>2.5099999999999998</v>
      </c>
      <c r="G136">
        <v>2.1</v>
      </c>
      <c r="H136">
        <v>2.7</v>
      </c>
      <c r="I136">
        <v>36.379999999999995</v>
      </c>
      <c r="J136">
        <v>13</v>
      </c>
      <c r="K136">
        <v>16.5</v>
      </c>
      <c r="L136">
        <v>5.2</v>
      </c>
      <c r="M136" s="2">
        <v>0.15651000000000001</v>
      </c>
      <c r="N136" s="4">
        <f t="shared" si="4"/>
        <v>0.95261607000200343</v>
      </c>
      <c r="O136" s="4">
        <v>0.24429999999999999</v>
      </c>
      <c r="P136" s="2">
        <v>8.3000000000000007</v>
      </c>
      <c r="Q136">
        <v>2.25</v>
      </c>
      <c r="R136" s="4">
        <v>0.24429999999999999</v>
      </c>
    </row>
    <row r="137" spans="1:18" x14ac:dyDescent="0.25">
      <c r="A137" s="1">
        <v>40269</v>
      </c>
      <c r="B137">
        <v>1.8</v>
      </c>
      <c r="C137">
        <v>1.3</v>
      </c>
      <c r="D137">
        <v>1.7</v>
      </c>
      <c r="E137">
        <v>1.3</v>
      </c>
      <c r="F137">
        <v>2.5</v>
      </c>
      <c r="G137">
        <v>2.1</v>
      </c>
      <c r="H137">
        <v>2.2999999999999998</v>
      </c>
      <c r="I137">
        <v>38.69</v>
      </c>
      <c r="J137">
        <v>12.4</v>
      </c>
      <c r="K137">
        <v>15.3</v>
      </c>
      <c r="L137">
        <v>4.8</v>
      </c>
      <c r="M137" s="2">
        <v>0.12625</v>
      </c>
      <c r="N137" s="4">
        <f t="shared" si="4"/>
        <v>0.96506360938511182</v>
      </c>
      <c r="O137" s="4">
        <v>0.248</v>
      </c>
      <c r="P137" s="2">
        <v>8.1999999999999993</v>
      </c>
      <c r="Q137">
        <v>2.25</v>
      </c>
      <c r="R137" s="4">
        <v>0.248</v>
      </c>
    </row>
    <row r="138" spans="1:18" x14ac:dyDescent="0.25">
      <c r="A138" s="1">
        <v>40299</v>
      </c>
      <c r="B138">
        <v>1.4</v>
      </c>
      <c r="C138">
        <v>1.2</v>
      </c>
      <c r="D138">
        <v>1.6</v>
      </c>
      <c r="E138">
        <v>1</v>
      </c>
      <c r="F138">
        <v>2.2400000000000002</v>
      </c>
      <c r="G138">
        <v>2.4</v>
      </c>
      <c r="H138">
        <v>2.9</v>
      </c>
      <c r="I138">
        <v>36.039999999999992</v>
      </c>
      <c r="J138">
        <v>13</v>
      </c>
      <c r="K138">
        <v>15.5</v>
      </c>
      <c r="L138">
        <v>5</v>
      </c>
      <c r="M138" s="2">
        <v>0.11013000000000001</v>
      </c>
      <c r="N138" s="4">
        <f t="shared" si="4"/>
        <v>0.97699019282676169</v>
      </c>
      <c r="O138" s="4">
        <v>0.2437</v>
      </c>
      <c r="P138" s="2">
        <v>8.1</v>
      </c>
      <c r="Q138">
        <v>2.25</v>
      </c>
      <c r="R138" s="4">
        <v>0.2437</v>
      </c>
    </row>
    <row r="139" spans="1:18" x14ac:dyDescent="0.25">
      <c r="A139" s="1">
        <v>40330</v>
      </c>
      <c r="B139">
        <v>1</v>
      </c>
      <c r="C139">
        <v>1.1000000000000001</v>
      </c>
      <c r="D139">
        <v>1.5</v>
      </c>
      <c r="E139">
        <v>1</v>
      </c>
      <c r="F139">
        <v>2.23</v>
      </c>
      <c r="G139">
        <v>1.9</v>
      </c>
      <c r="H139">
        <v>2.9</v>
      </c>
      <c r="I139">
        <v>36.77000000000001</v>
      </c>
      <c r="J139">
        <v>12.7</v>
      </c>
      <c r="K139">
        <v>14.8</v>
      </c>
      <c r="L139">
        <v>5</v>
      </c>
      <c r="M139" s="2">
        <v>0.10845</v>
      </c>
      <c r="N139" s="4">
        <f t="shared" si="4"/>
        <v>0.98842746884553034</v>
      </c>
      <c r="O139" s="4">
        <v>0.49280000000000002</v>
      </c>
      <c r="P139" s="2">
        <v>8</v>
      </c>
      <c r="Q139">
        <v>2.5</v>
      </c>
      <c r="R139" s="4">
        <v>0.49280000000000002</v>
      </c>
    </row>
    <row r="140" spans="1:18" x14ac:dyDescent="0.25">
      <c r="A140" s="1">
        <v>40360</v>
      </c>
      <c r="B140">
        <v>1.8</v>
      </c>
      <c r="C140">
        <v>1.3</v>
      </c>
      <c r="D140">
        <v>1.6</v>
      </c>
      <c r="E140">
        <v>1.1000000000000001</v>
      </c>
      <c r="F140">
        <v>2.2200000000000002</v>
      </c>
      <c r="G140">
        <v>1.8</v>
      </c>
      <c r="H140">
        <v>3.1</v>
      </c>
      <c r="I140">
        <v>34.659999999999997</v>
      </c>
      <c r="J140">
        <v>11.5</v>
      </c>
      <c r="K140">
        <v>13</v>
      </c>
      <c r="L140">
        <v>4.8</v>
      </c>
      <c r="M140" s="2">
        <v>0.11688</v>
      </c>
      <c r="N140" s="4">
        <f t="shared" si="4"/>
        <v>0.9990973910623</v>
      </c>
      <c r="O140" s="4">
        <v>0.74</v>
      </c>
      <c r="P140" s="2">
        <v>8</v>
      </c>
      <c r="Q140">
        <v>2.75</v>
      </c>
      <c r="R140" s="4">
        <v>0.74</v>
      </c>
    </row>
    <row r="141" spans="1:18" x14ac:dyDescent="0.25">
      <c r="A141" s="1">
        <v>40391</v>
      </c>
      <c r="B141">
        <v>1.7</v>
      </c>
      <c r="C141">
        <v>1.2</v>
      </c>
      <c r="D141">
        <v>1.6</v>
      </c>
      <c r="E141">
        <v>1.2</v>
      </c>
      <c r="F141">
        <v>2.0699999999999998</v>
      </c>
      <c r="G141">
        <v>2.1</v>
      </c>
      <c r="H141">
        <v>4.3</v>
      </c>
      <c r="I141">
        <v>34.259999999999991</v>
      </c>
      <c r="J141">
        <v>9.9</v>
      </c>
      <c r="K141">
        <v>11.3</v>
      </c>
      <c r="L141">
        <v>4.5</v>
      </c>
      <c r="M141" s="2">
        <v>0.13052</v>
      </c>
      <c r="N141" s="4">
        <f t="shared" si="4"/>
        <v>1.0088428941630132</v>
      </c>
      <c r="O141" s="4">
        <v>0.74809999999999999</v>
      </c>
      <c r="P141" s="2">
        <v>8.1</v>
      </c>
      <c r="Q141">
        <v>2.75</v>
      </c>
      <c r="R141" s="4">
        <v>0.74809999999999999</v>
      </c>
    </row>
    <row r="142" spans="1:18" x14ac:dyDescent="0.25">
      <c r="A142" s="1">
        <v>40422</v>
      </c>
      <c r="B142">
        <v>1.9</v>
      </c>
      <c r="C142">
        <v>1.3</v>
      </c>
      <c r="D142">
        <v>1.6</v>
      </c>
      <c r="E142">
        <v>0.9</v>
      </c>
      <c r="F142">
        <v>2.16</v>
      </c>
      <c r="G142">
        <v>2.1</v>
      </c>
      <c r="H142">
        <v>3.5</v>
      </c>
      <c r="I142">
        <v>34.550000000000011</v>
      </c>
      <c r="J142">
        <v>9.9</v>
      </c>
      <c r="K142">
        <v>10.8</v>
      </c>
      <c r="L142">
        <v>4.5999999999999996</v>
      </c>
      <c r="M142" s="2">
        <v>0.14315</v>
      </c>
      <c r="N142" s="4">
        <f t="shared" ref="N142:N150" si="5">_xlfn.FORECAST.LINEAR(A142,N143:N272,A143:A272)</f>
        <v>1.0185978148314216</v>
      </c>
      <c r="O142" s="4">
        <v>0.99760000000000004</v>
      </c>
      <c r="P142" s="2">
        <v>8.1999999999999993</v>
      </c>
      <c r="Q142">
        <v>3</v>
      </c>
      <c r="R142" s="4">
        <v>0.99760000000000004</v>
      </c>
    </row>
    <row r="143" spans="1:18" x14ac:dyDescent="0.25">
      <c r="A143" s="1">
        <v>40452</v>
      </c>
      <c r="B143">
        <v>2.4</v>
      </c>
      <c r="C143">
        <v>1.4</v>
      </c>
      <c r="D143">
        <v>1.7</v>
      </c>
      <c r="E143">
        <v>1.1000000000000001</v>
      </c>
      <c r="F143">
        <v>2.33</v>
      </c>
      <c r="G143">
        <v>1.5</v>
      </c>
      <c r="H143">
        <v>2.9</v>
      </c>
      <c r="I143">
        <v>34.44</v>
      </c>
      <c r="J143">
        <v>9.3000000000000007</v>
      </c>
      <c r="K143">
        <v>9.6999999999999993</v>
      </c>
      <c r="L143">
        <v>4.5999999999999996</v>
      </c>
      <c r="M143" s="2">
        <v>0.14596999999999999</v>
      </c>
      <c r="N143" s="4">
        <f t="shared" si="5"/>
        <v>1.0275047641906307</v>
      </c>
      <c r="O143" s="4">
        <v>0.99690000000000001</v>
      </c>
      <c r="P143" s="2">
        <v>8</v>
      </c>
      <c r="Q143">
        <v>3</v>
      </c>
      <c r="R143" s="4">
        <v>0.99690000000000001</v>
      </c>
    </row>
    <row r="144" spans="1:18" x14ac:dyDescent="0.25">
      <c r="A144" s="1">
        <v>40483</v>
      </c>
      <c r="B144">
        <v>2</v>
      </c>
      <c r="C144">
        <v>1.2</v>
      </c>
      <c r="D144">
        <v>1.5</v>
      </c>
      <c r="E144">
        <v>1</v>
      </c>
      <c r="F144">
        <v>2.35</v>
      </c>
      <c r="G144">
        <v>2.2999999999999998</v>
      </c>
      <c r="H144">
        <v>3</v>
      </c>
      <c r="I144">
        <v>35.509999999999991</v>
      </c>
      <c r="J144">
        <v>8.3000000000000007</v>
      </c>
      <c r="K144">
        <v>8.8000000000000007</v>
      </c>
      <c r="L144">
        <v>4.4000000000000004</v>
      </c>
      <c r="M144" s="2">
        <v>0.13574</v>
      </c>
      <c r="N144" s="4">
        <f t="shared" si="5"/>
        <v>1.0358041120716095</v>
      </c>
      <c r="O144" s="4">
        <v>0.99970000000000003</v>
      </c>
      <c r="P144" s="2">
        <v>7.7</v>
      </c>
      <c r="Q144">
        <v>3</v>
      </c>
      <c r="R144" s="4">
        <v>0.99970000000000003</v>
      </c>
    </row>
    <row r="145" spans="1:18" x14ac:dyDescent="0.25">
      <c r="A145" s="1">
        <v>40513</v>
      </c>
      <c r="B145">
        <v>2.4</v>
      </c>
      <c r="C145">
        <v>1.4</v>
      </c>
      <c r="D145">
        <v>1.6</v>
      </c>
      <c r="E145">
        <v>1.2</v>
      </c>
      <c r="F145">
        <v>2.42</v>
      </c>
      <c r="G145">
        <v>2</v>
      </c>
      <c r="H145">
        <v>2.2000000000000002</v>
      </c>
      <c r="I145">
        <v>36.840000000000003</v>
      </c>
      <c r="J145">
        <v>8.5</v>
      </c>
      <c r="K145">
        <v>9.1</v>
      </c>
      <c r="L145">
        <v>4.5999999999999996</v>
      </c>
      <c r="M145" s="2">
        <v>0.11429</v>
      </c>
      <c r="N145" s="4">
        <f t="shared" si="5"/>
        <v>1.0437556563969594</v>
      </c>
      <c r="O145" s="4">
        <v>0.99239999999999995</v>
      </c>
      <c r="P145" s="2">
        <v>7.7</v>
      </c>
      <c r="Q145">
        <v>3</v>
      </c>
      <c r="R145" s="4">
        <v>0.99239999999999995</v>
      </c>
    </row>
    <row r="146" spans="1:18" x14ac:dyDescent="0.25">
      <c r="A146" s="1">
        <v>40544</v>
      </c>
      <c r="B146">
        <v>2.2999999999999998</v>
      </c>
      <c r="C146">
        <v>1.3</v>
      </c>
      <c r="D146">
        <v>1.6</v>
      </c>
      <c r="E146">
        <v>1.2</v>
      </c>
      <c r="F146">
        <v>2.4</v>
      </c>
      <c r="G146">
        <v>2</v>
      </c>
      <c r="H146">
        <v>3.6</v>
      </c>
      <c r="I146">
        <v>37.97</v>
      </c>
      <c r="J146">
        <v>8.5</v>
      </c>
      <c r="K146">
        <v>9.1</v>
      </c>
      <c r="L146">
        <v>4.9000000000000004</v>
      </c>
      <c r="M146" s="2">
        <v>8.9029999999999998E-2</v>
      </c>
      <c r="N146" s="4">
        <f t="shared" si="5"/>
        <v>1.0508059126820806</v>
      </c>
      <c r="O146" s="4">
        <v>0.99370000000000003</v>
      </c>
      <c r="P146" s="2">
        <v>7.8</v>
      </c>
      <c r="Q146">
        <v>3</v>
      </c>
      <c r="R146" s="4">
        <v>0.99370000000000003</v>
      </c>
    </row>
    <row r="147" spans="1:18" x14ac:dyDescent="0.25">
      <c r="A147" s="1">
        <v>40575</v>
      </c>
      <c r="B147">
        <v>2.2000000000000002</v>
      </c>
      <c r="C147">
        <v>1.1000000000000001</v>
      </c>
      <c r="D147">
        <v>1.4</v>
      </c>
      <c r="E147">
        <v>1.2</v>
      </c>
      <c r="F147">
        <v>2.44</v>
      </c>
      <c r="G147">
        <v>2.4</v>
      </c>
      <c r="H147">
        <v>2.6</v>
      </c>
      <c r="I147">
        <v>38.210000000000008</v>
      </c>
      <c r="J147">
        <v>7.7</v>
      </c>
      <c r="K147">
        <v>8.3000000000000007</v>
      </c>
      <c r="L147">
        <v>4.8</v>
      </c>
      <c r="M147" s="2">
        <v>6.6489999999999994E-2</v>
      </c>
      <c r="N147" s="4">
        <f t="shared" si="5"/>
        <v>1.0582275919732167</v>
      </c>
      <c r="O147" s="4">
        <v>0.99339999999999995</v>
      </c>
      <c r="P147" s="2">
        <v>7.7</v>
      </c>
      <c r="Q147">
        <v>3</v>
      </c>
      <c r="R147" s="4">
        <v>0.99339999999999995</v>
      </c>
    </row>
    <row r="148" spans="1:18" x14ac:dyDescent="0.25">
      <c r="A148" s="1">
        <v>40603</v>
      </c>
      <c r="B148">
        <v>3.3</v>
      </c>
      <c r="C148">
        <v>1.6</v>
      </c>
      <c r="D148">
        <v>1.8</v>
      </c>
      <c r="E148">
        <v>1.8</v>
      </c>
      <c r="F148">
        <v>2.59</v>
      </c>
      <c r="G148">
        <v>2.2999999999999998</v>
      </c>
      <c r="H148">
        <v>2.7</v>
      </c>
      <c r="I148">
        <v>39.039999999999992</v>
      </c>
      <c r="J148">
        <v>7.7</v>
      </c>
      <c r="K148">
        <v>8.5</v>
      </c>
      <c r="L148">
        <v>5.0999999999999996</v>
      </c>
      <c r="M148" s="2">
        <v>5.3940000000000002E-2</v>
      </c>
      <c r="N148" s="4">
        <f t="shared" si="5"/>
        <v>1.0654983449038435</v>
      </c>
      <c r="O148" s="4">
        <v>0.99439999999999995</v>
      </c>
      <c r="P148" s="2">
        <v>7.7</v>
      </c>
      <c r="Q148">
        <v>3</v>
      </c>
      <c r="R148" s="4">
        <v>0.99439999999999995</v>
      </c>
    </row>
    <row r="149" spans="1:18" x14ac:dyDescent="0.25">
      <c r="A149" s="1">
        <v>40634</v>
      </c>
      <c r="B149">
        <v>3.3</v>
      </c>
      <c r="C149">
        <v>1.6</v>
      </c>
      <c r="D149">
        <v>1.8</v>
      </c>
      <c r="E149">
        <v>1.7</v>
      </c>
      <c r="F149">
        <v>2.69</v>
      </c>
      <c r="G149">
        <v>2.2999999999999998</v>
      </c>
      <c r="H149">
        <v>3.1</v>
      </c>
      <c r="I149">
        <v>40.52000000000001</v>
      </c>
      <c r="J149">
        <v>7</v>
      </c>
      <c r="K149">
        <v>8.1</v>
      </c>
      <c r="L149">
        <v>5.2</v>
      </c>
      <c r="M149" s="2">
        <v>6.0819999999999999E-2</v>
      </c>
      <c r="N149" s="4">
        <f t="shared" si="5"/>
        <v>1.0718416604710095</v>
      </c>
      <c r="O149" s="4">
        <v>0.997</v>
      </c>
      <c r="P149" s="2">
        <v>7.7</v>
      </c>
      <c r="Q149">
        <v>3</v>
      </c>
      <c r="R149" s="4">
        <v>0.997</v>
      </c>
    </row>
    <row r="150" spans="1:18" x14ac:dyDescent="0.25">
      <c r="A150" s="1">
        <v>40664</v>
      </c>
      <c r="B150">
        <v>3.7</v>
      </c>
      <c r="C150">
        <v>1.8</v>
      </c>
      <c r="D150">
        <v>2</v>
      </c>
      <c r="E150">
        <v>1.9</v>
      </c>
      <c r="F150">
        <v>2.5099999999999998</v>
      </c>
      <c r="G150">
        <v>1.9</v>
      </c>
      <c r="H150">
        <v>2.6</v>
      </c>
      <c r="I150">
        <v>38.930000000000007</v>
      </c>
      <c r="J150">
        <v>6</v>
      </c>
      <c r="K150">
        <v>7.2</v>
      </c>
      <c r="L150">
        <v>5</v>
      </c>
      <c r="M150" s="2">
        <v>8.7169999999999997E-2</v>
      </c>
      <c r="N150" s="4">
        <f t="shared" si="5"/>
        <v>1.0769968280108464</v>
      </c>
      <c r="O150" s="4">
        <v>0.99670000000000003</v>
      </c>
      <c r="P150" s="2">
        <v>7.6</v>
      </c>
      <c r="Q150">
        <v>3</v>
      </c>
      <c r="R150" s="4">
        <v>0.99670000000000003</v>
      </c>
    </row>
    <row r="151" spans="1:18" x14ac:dyDescent="0.25">
      <c r="A151" s="1">
        <v>40695</v>
      </c>
      <c r="B151">
        <v>3.1</v>
      </c>
      <c r="C151">
        <v>1.8</v>
      </c>
      <c r="D151">
        <v>2</v>
      </c>
      <c r="E151">
        <v>1.9</v>
      </c>
      <c r="F151">
        <v>2.4900000000000002</v>
      </c>
      <c r="G151">
        <v>1.9</v>
      </c>
      <c r="H151">
        <v>2.6</v>
      </c>
      <c r="I151">
        <v>37.599999999999994</v>
      </c>
      <c r="J151">
        <v>6.7</v>
      </c>
      <c r="K151">
        <v>7.4</v>
      </c>
      <c r="L151">
        <v>5.0999999999999996</v>
      </c>
      <c r="M151" s="2">
        <v>0.12299</v>
      </c>
      <c r="N151" s="4">
        <f t="shared" ref="N151:N156" si="6">_xlfn.FORECAST.LINEAR(A151,N152:N281,A152:A281)</f>
        <v>1.0780109447051549</v>
      </c>
      <c r="O151" s="4">
        <v>0.99809999999999999</v>
      </c>
      <c r="P151" s="2">
        <v>7.6</v>
      </c>
      <c r="Q151">
        <v>3</v>
      </c>
      <c r="R151" s="4">
        <v>0.99809999999999999</v>
      </c>
    </row>
    <row r="152" spans="1:18" x14ac:dyDescent="0.25">
      <c r="A152" s="1">
        <v>40725</v>
      </c>
      <c r="B152">
        <v>2.7</v>
      </c>
      <c r="C152">
        <v>1.8</v>
      </c>
      <c r="D152">
        <v>1.9</v>
      </c>
      <c r="E152">
        <v>1.9</v>
      </c>
      <c r="F152">
        <v>2.5099999999999998</v>
      </c>
      <c r="G152">
        <v>1.9</v>
      </c>
      <c r="H152">
        <v>2.6</v>
      </c>
      <c r="I152">
        <v>40.370000000000005</v>
      </c>
      <c r="J152">
        <v>6.7</v>
      </c>
      <c r="K152">
        <v>7.4</v>
      </c>
      <c r="L152">
        <v>5.0999999999999996</v>
      </c>
      <c r="M152" s="2">
        <v>0.1462</v>
      </c>
      <c r="N152" s="4">
        <f t="shared" si="6"/>
        <v>1.0712540732740878</v>
      </c>
      <c r="O152" s="4">
        <v>0.99860000000000004</v>
      </c>
      <c r="P152" s="2">
        <v>7.3</v>
      </c>
      <c r="Q152">
        <v>3</v>
      </c>
      <c r="R152" s="4">
        <v>0.99860000000000004</v>
      </c>
    </row>
    <row r="153" spans="1:18" x14ac:dyDescent="0.25">
      <c r="A153" s="1">
        <v>40756</v>
      </c>
      <c r="B153">
        <v>3.1</v>
      </c>
      <c r="C153">
        <v>2</v>
      </c>
      <c r="D153">
        <v>2.1</v>
      </c>
      <c r="E153">
        <v>2</v>
      </c>
      <c r="F153">
        <v>2.2200000000000002</v>
      </c>
      <c r="G153">
        <v>1.7</v>
      </c>
      <c r="H153">
        <v>1.9</v>
      </c>
      <c r="I153">
        <v>36.590000000000003</v>
      </c>
      <c r="J153">
        <v>7.1</v>
      </c>
      <c r="K153">
        <v>7.9</v>
      </c>
      <c r="L153">
        <v>5.3</v>
      </c>
      <c r="M153" s="2">
        <v>0.14627999999999999</v>
      </c>
      <c r="N153" s="4">
        <f t="shared" si="6"/>
        <v>1.0641061240089305</v>
      </c>
      <c r="O153" s="4">
        <v>0.99770000000000003</v>
      </c>
      <c r="P153" s="2">
        <v>7.3</v>
      </c>
      <c r="Q153">
        <v>3</v>
      </c>
      <c r="R153" s="4">
        <v>0.99770000000000003</v>
      </c>
    </row>
    <row r="154" spans="1:18" x14ac:dyDescent="0.25">
      <c r="A154" s="1">
        <v>40787</v>
      </c>
      <c r="B154">
        <v>3.2</v>
      </c>
      <c r="C154">
        <v>2.1</v>
      </c>
      <c r="D154">
        <v>2</v>
      </c>
      <c r="E154">
        <v>2.1</v>
      </c>
      <c r="F154">
        <v>1.95</v>
      </c>
      <c r="G154">
        <v>1.4</v>
      </c>
      <c r="H154">
        <v>0.6</v>
      </c>
      <c r="I154">
        <v>36.02000000000001</v>
      </c>
      <c r="J154">
        <v>8.8000000000000007</v>
      </c>
      <c r="K154">
        <v>9.3000000000000007</v>
      </c>
      <c r="L154">
        <v>5.8</v>
      </c>
      <c r="M154" s="2">
        <v>0.12235</v>
      </c>
      <c r="N154" s="4">
        <f t="shared" si="6"/>
        <v>1.0496857851163059</v>
      </c>
      <c r="O154" s="4">
        <v>0.99890000000000001</v>
      </c>
      <c r="P154" s="2">
        <v>7.4</v>
      </c>
      <c r="Q154">
        <v>3</v>
      </c>
      <c r="R154" s="4">
        <v>0.99890000000000001</v>
      </c>
    </row>
    <row r="155" spans="1:18" x14ac:dyDescent="0.25">
      <c r="A155" s="1">
        <v>40817</v>
      </c>
      <c r="B155">
        <v>2.9</v>
      </c>
      <c r="C155">
        <v>2</v>
      </c>
      <c r="D155">
        <v>1.9</v>
      </c>
      <c r="E155">
        <v>2</v>
      </c>
      <c r="F155">
        <v>2.17</v>
      </c>
      <c r="G155">
        <v>1.6</v>
      </c>
      <c r="H155">
        <v>2.5</v>
      </c>
      <c r="I155">
        <v>34.199999999999989</v>
      </c>
      <c r="J155">
        <v>9.1999999999999993</v>
      </c>
      <c r="K155">
        <v>10.1</v>
      </c>
      <c r="L155">
        <v>6.1</v>
      </c>
      <c r="M155" s="2">
        <v>8.2989999999999994E-2</v>
      </c>
      <c r="N155" s="4">
        <f t="shared" si="6"/>
        <v>1.0208501812637039</v>
      </c>
      <c r="O155" s="4">
        <v>0.99929999999999997</v>
      </c>
      <c r="P155" s="2">
        <v>7.4</v>
      </c>
      <c r="Q155">
        <v>3</v>
      </c>
      <c r="R155" s="4">
        <v>0.99929999999999997</v>
      </c>
    </row>
    <row r="156" spans="1:18" x14ac:dyDescent="0.25">
      <c r="A156" s="1">
        <v>40848</v>
      </c>
      <c r="B156">
        <v>2.9</v>
      </c>
      <c r="C156">
        <v>2.1</v>
      </c>
      <c r="D156">
        <v>2.1</v>
      </c>
      <c r="E156">
        <v>2.1</v>
      </c>
      <c r="F156">
        <v>2.08</v>
      </c>
      <c r="G156">
        <v>2.1</v>
      </c>
      <c r="H156">
        <v>2.1</v>
      </c>
      <c r="I156">
        <v>33.960000000000008</v>
      </c>
      <c r="J156">
        <v>8.8000000000000007</v>
      </c>
      <c r="K156">
        <v>10.4</v>
      </c>
      <c r="L156">
        <v>6.3</v>
      </c>
      <c r="M156" s="2">
        <v>3.4930000000000003E-2</v>
      </c>
      <c r="N156" s="4">
        <f t="shared" si="6"/>
        <v>0.99286642637771916</v>
      </c>
      <c r="O156" s="4">
        <v>0.99829999999999997</v>
      </c>
      <c r="P156" s="2">
        <v>7.6</v>
      </c>
      <c r="Q156">
        <v>3</v>
      </c>
      <c r="R156" s="4">
        <v>0.99829999999999997</v>
      </c>
    </row>
    <row r="157" spans="1:18" x14ac:dyDescent="0.25">
      <c r="A157" s="1">
        <v>40878</v>
      </c>
      <c r="B157">
        <v>2.2999999999999998</v>
      </c>
      <c r="C157">
        <v>1.9</v>
      </c>
      <c r="D157">
        <v>1.9</v>
      </c>
      <c r="E157">
        <v>2</v>
      </c>
      <c r="F157">
        <v>2.0299999999999998</v>
      </c>
      <c r="G157">
        <v>2.2000000000000002</v>
      </c>
      <c r="H157">
        <v>2.7</v>
      </c>
      <c r="I157">
        <v>34.990000000000009</v>
      </c>
      <c r="J157">
        <v>8.3000000000000007</v>
      </c>
      <c r="K157">
        <v>10.199999999999999</v>
      </c>
      <c r="L157">
        <v>6.3</v>
      </c>
      <c r="M157" s="2">
        <v>-1.421E-2</v>
      </c>
      <c r="N157" s="4">
        <f>_xlfn.FORECAST.LINEAR(A157,N158:N287,A158:A287)</f>
        <v>0.95436829767604503</v>
      </c>
      <c r="O157" s="4">
        <v>0.99980000000000002</v>
      </c>
      <c r="P157" s="2">
        <v>7.5</v>
      </c>
      <c r="Q157">
        <v>3</v>
      </c>
      <c r="R157" s="4">
        <v>0.99980000000000002</v>
      </c>
    </row>
    <row r="158" spans="1:18" x14ac:dyDescent="0.25">
      <c r="A158" s="1">
        <v>40909</v>
      </c>
      <c r="B158">
        <v>2.5</v>
      </c>
      <c r="C158">
        <v>2.1</v>
      </c>
      <c r="D158">
        <v>2</v>
      </c>
      <c r="E158">
        <v>2</v>
      </c>
      <c r="F158">
        <v>2.11</v>
      </c>
      <c r="G158">
        <v>2.4</v>
      </c>
      <c r="H158">
        <v>1.8</v>
      </c>
      <c r="I158">
        <v>36.080000000000013</v>
      </c>
      <c r="J158">
        <v>9.8000000000000007</v>
      </c>
      <c r="K158">
        <v>10.7</v>
      </c>
      <c r="L158">
        <v>6.4</v>
      </c>
      <c r="M158" s="2">
        <v>-5.2650000000000002E-2</v>
      </c>
      <c r="N158" s="4">
        <v>1.0033000000000001</v>
      </c>
      <c r="O158" s="4">
        <v>0.99870000000000003</v>
      </c>
      <c r="P158" s="2">
        <v>7.7</v>
      </c>
      <c r="Q158">
        <v>3</v>
      </c>
      <c r="R158" s="4">
        <v>0.99870000000000003</v>
      </c>
    </row>
    <row r="159" spans="1:18" x14ac:dyDescent="0.25">
      <c r="A159" s="1">
        <v>40940</v>
      </c>
      <c r="B159">
        <v>2.6</v>
      </c>
      <c r="C159">
        <v>2.2000000000000002</v>
      </c>
      <c r="D159">
        <v>2.1</v>
      </c>
      <c r="E159">
        <v>2.2000000000000002</v>
      </c>
      <c r="F159">
        <v>2.16</v>
      </c>
      <c r="G159">
        <v>2.2999999999999998</v>
      </c>
      <c r="H159">
        <v>1.7</v>
      </c>
      <c r="I159">
        <v>37.090000000000003</v>
      </c>
      <c r="J159">
        <v>9.4</v>
      </c>
      <c r="K159">
        <v>10.1</v>
      </c>
      <c r="L159">
        <v>6.2</v>
      </c>
      <c r="M159" s="2">
        <v>-7.6980000000000007E-2</v>
      </c>
      <c r="N159" s="4">
        <v>0.97809999999999997</v>
      </c>
      <c r="O159" s="4">
        <v>0.99780000000000002</v>
      </c>
      <c r="P159" s="2">
        <v>7.5</v>
      </c>
      <c r="Q159">
        <v>3</v>
      </c>
      <c r="R159" s="4">
        <v>0.99780000000000002</v>
      </c>
    </row>
    <row r="160" spans="1:18" x14ac:dyDescent="0.25">
      <c r="A160" s="1">
        <v>40969</v>
      </c>
      <c r="B160">
        <v>1.9</v>
      </c>
      <c r="C160">
        <v>1.9</v>
      </c>
      <c r="D160">
        <v>1.9</v>
      </c>
      <c r="E160">
        <v>1.6</v>
      </c>
      <c r="F160">
        <v>2.15</v>
      </c>
      <c r="G160">
        <v>2.7</v>
      </c>
      <c r="H160">
        <v>2.2999999999999998</v>
      </c>
      <c r="I160">
        <v>38.120000000000005</v>
      </c>
      <c r="J160">
        <v>9.4</v>
      </c>
      <c r="K160">
        <v>9.6</v>
      </c>
      <c r="L160">
        <v>6</v>
      </c>
      <c r="M160" s="2">
        <v>-8.9410000000000003E-2</v>
      </c>
      <c r="N160" s="4">
        <v>1</v>
      </c>
      <c r="O160" s="4">
        <v>0.998</v>
      </c>
      <c r="P160" s="2">
        <v>7.3</v>
      </c>
      <c r="Q160">
        <v>3</v>
      </c>
      <c r="R160" s="4">
        <v>0.998</v>
      </c>
    </row>
    <row r="161" spans="1:18" x14ac:dyDescent="0.25">
      <c r="A161" s="1">
        <v>41000</v>
      </c>
      <c r="B161">
        <v>2</v>
      </c>
      <c r="C161">
        <v>2</v>
      </c>
      <c r="D161">
        <v>2</v>
      </c>
      <c r="E161">
        <v>1.9</v>
      </c>
      <c r="F161">
        <v>2.06</v>
      </c>
      <c r="G161">
        <v>2.6</v>
      </c>
      <c r="H161">
        <v>2.2999999999999998</v>
      </c>
      <c r="I161">
        <v>38.620000000000005</v>
      </c>
      <c r="J161">
        <v>10.5</v>
      </c>
      <c r="K161">
        <v>10.1</v>
      </c>
      <c r="L161">
        <v>6.2</v>
      </c>
      <c r="M161" s="2">
        <v>-9.6140000000000003E-2</v>
      </c>
      <c r="N161" s="4">
        <v>1.0336000000000001</v>
      </c>
      <c r="O161" s="4">
        <v>1.0079</v>
      </c>
      <c r="P161" s="2">
        <v>7.3</v>
      </c>
      <c r="Q161">
        <v>3</v>
      </c>
      <c r="R161" s="4">
        <v>1.0079</v>
      </c>
    </row>
    <row r="162" spans="1:18" x14ac:dyDescent="0.25">
      <c r="A162" s="1">
        <v>41030</v>
      </c>
      <c r="B162">
        <v>1.2</v>
      </c>
      <c r="C162">
        <v>1.6</v>
      </c>
      <c r="D162">
        <v>1.7</v>
      </c>
      <c r="E162">
        <v>1.7</v>
      </c>
      <c r="F162">
        <v>1.96</v>
      </c>
      <c r="G162">
        <v>2.6</v>
      </c>
      <c r="H162">
        <v>2</v>
      </c>
      <c r="I162">
        <v>37.550000000000011</v>
      </c>
      <c r="J162">
        <v>11.2</v>
      </c>
      <c r="K162">
        <v>10.7</v>
      </c>
      <c r="L162">
        <v>6.5</v>
      </c>
      <c r="M162" s="2">
        <v>-0.10068000000000001</v>
      </c>
      <c r="N162" s="4">
        <v>1.0179</v>
      </c>
      <c r="O162" s="4">
        <v>1</v>
      </c>
      <c r="P162" s="2">
        <v>7.4</v>
      </c>
      <c r="Q162">
        <v>3</v>
      </c>
      <c r="R162" s="4">
        <v>1</v>
      </c>
    </row>
    <row r="163" spans="1:18" x14ac:dyDescent="0.25">
      <c r="A163" s="1">
        <v>41061</v>
      </c>
      <c r="B163">
        <v>1.5</v>
      </c>
      <c r="C163">
        <v>1.5</v>
      </c>
      <c r="D163">
        <v>1.6</v>
      </c>
      <c r="E163">
        <v>1.7</v>
      </c>
      <c r="F163">
        <v>1.9</v>
      </c>
      <c r="G163">
        <v>3.3</v>
      </c>
      <c r="H163">
        <v>1.6</v>
      </c>
      <c r="I163">
        <v>36.02000000000001</v>
      </c>
      <c r="J163">
        <v>11.3</v>
      </c>
      <c r="K163">
        <v>11</v>
      </c>
      <c r="L163">
        <v>6.7</v>
      </c>
      <c r="M163" s="2">
        <v>-0.10342</v>
      </c>
      <c r="N163" s="4">
        <v>1.0369999999999999</v>
      </c>
      <c r="O163" s="4">
        <v>0.99839999999999995</v>
      </c>
      <c r="P163" s="2">
        <v>7.2</v>
      </c>
      <c r="Q163">
        <v>3</v>
      </c>
      <c r="R163" s="4">
        <v>0.99839999999999995</v>
      </c>
    </row>
    <row r="164" spans="1:18" x14ac:dyDescent="0.25">
      <c r="A164" s="1">
        <v>41091</v>
      </c>
      <c r="B164">
        <v>1.3</v>
      </c>
      <c r="C164">
        <v>1.5</v>
      </c>
      <c r="D164">
        <v>1.6</v>
      </c>
      <c r="E164">
        <v>1.6</v>
      </c>
      <c r="F164">
        <v>1.89</v>
      </c>
      <c r="G164">
        <v>3.7</v>
      </c>
      <c r="H164">
        <v>3.1</v>
      </c>
      <c r="I164">
        <v>37.669999999999987</v>
      </c>
      <c r="J164">
        <v>11.3</v>
      </c>
      <c r="K164">
        <v>11.4</v>
      </c>
      <c r="L164">
        <v>6.9</v>
      </c>
      <c r="M164" s="2">
        <v>-0.10143000000000001</v>
      </c>
      <c r="N164" s="4">
        <v>1.0058</v>
      </c>
      <c r="O164" s="4">
        <v>0.99739999999999995</v>
      </c>
      <c r="P164" s="2">
        <v>7.3</v>
      </c>
      <c r="Q164">
        <v>3</v>
      </c>
      <c r="R164" s="4">
        <v>0.99739999999999995</v>
      </c>
    </row>
    <row r="165" spans="1:18" x14ac:dyDescent="0.25">
      <c r="A165" s="1">
        <v>41122</v>
      </c>
      <c r="B165">
        <v>1.2</v>
      </c>
      <c r="C165">
        <v>1.5</v>
      </c>
      <c r="D165">
        <v>1.7</v>
      </c>
      <c r="E165">
        <v>1.6</v>
      </c>
      <c r="F165">
        <v>1.97</v>
      </c>
      <c r="G165">
        <v>3.5</v>
      </c>
      <c r="H165">
        <v>2.5</v>
      </c>
      <c r="I165">
        <v>40.129999999999995</v>
      </c>
      <c r="J165">
        <v>11</v>
      </c>
      <c r="K165">
        <v>10.9</v>
      </c>
      <c r="L165">
        <v>7</v>
      </c>
      <c r="M165" s="2">
        <v>-9.2469999999999997E-2</v>
      </c>
      <c r="N165" s="4">
        <v>1.0066999999999999</v>
      </c>
      <c r="O165" s="4">
        <v>0.999</v>
      </c>
      <c r="P165" s="2">
        <v>7.3</v>
      </c>
      <c r="Q165">
        <v>3</v>
      </c>
      <c r="R165" s="4">
        <v>0.999</v>
      </c>
    </row>
    <row r="166" spans="1:18" x14ac:dyDescent="0.25">
      <c r="A166" s="1">
        <v>41153</v>
      </c>
      <c r="B166">
        <v>1.2</v>
      </c>
      <c r="C166">
        <v>1.4</v>
      </c>
      <c r="D166">
        <v>1.6</v>
      </c>
      <c r="E166">
        <v>1.4</v>
      </c>
      <c r="F166">
        <v>1.98</v>
      </c>
      <c r="G166">
        <v>3.2</v>
      </c>
      <c r="H166">
        <v>3.1</v>
      </c>
      <c r="I166">
        <v>40.889999999999986</v>
      </c>
      <c r="J166">
        <v>8.1999999999999993</v>
      </c>
      <c r="K166">
        <v>8.8000000000000007</v>
      </c>
      <c r="L166">
        <v>6.2</v>
      </c>
      <c r="M166" s="2">
        <v>-7.5149999999999995E-2</v>
      </c>
      <c r="N166" s="4">
        <v>1.0199</v>
      </c>
      <c r="O166" s="4">
        <v>0.99909999999999999</v>
      </c>
      <c r="P166" s="2">
        <v>7.3</v>
      </c>
      <c r="Q166">
        <v>3</v>
      </c>
      <c r="R166" s="4">
        <v>0.99909999999999999</v>
      </c>
    </row>
    <row r="167" spans="1:18" x14ac:dyDescent="0.25">
      <c r="A167" s="1">
        <v>41183</v>
      </c>
      <c r="B167">
        <v>1.2</v>
      </c>
      <c r="C167">
        <v>1.3</v>
      </c>
      <c r="D167">
        <v>1.7</v>
      </c>
      <c r="E167">
        <v>1.5</v>
      </c>
      <c r="F167">
        <v>2</v>
      </c>
      <c r="G167">
        <v>3.5</v>
      </c>
      <c r="H167">
        <v>1.6</v>
      </c>
      <c r="I167">
        <v>39.330000000000013</v>
      </c>
      <c r="J167">
        <v>7.2</v>
      </c>
      <c r="K167">
        <v>7.6</v>
      </c>
      <c r="L167">
        <v>6.3</v>
      </c>
      <c r="M167" s="2">
        <v>-4.972E-2</v>
      </c>
      <c r="N167" s="4">
        <v>1.0086999999999999</v>
      </c>
      <c r="O167" s="4">
        <v>1.0024</v>
      </c>
      <c r="P167" s="2">
        <v>7.5</v>
      </c>
      <c r="Q167">
        <v>3</v>
      </c>
      <c r="R167" s="4">
        <v>1.0024</v>
      </c>
    </row>
    <row r="168" spans="1:18" x14ac:dyDescent="0.25">
      <c r="A168" s="1">
        <v>41214</v>
      </c>
      <c r="B168">
        <v>0.8</v>
      </c>
      <c r="C168">
        <v>1.2</v>
      </c>
      <c r="D168">
        <v>1.6</v>
      </c>
      <c r="E168">
        <v>1.5</v>
      </c>
      <c r="F168">
        <v>1.96</v>
      </c>
      <c r="G168">
        <v>2.5</v>
      </c>
      <c r="H168">
        <v>1.9</v>
      </c>
      <c r="I168">
        <v>38.460000000000008</v>
      </c>
      <c r="J168">
        <v>8.1999999999999993</v>
      </c>
      <c r="K168">
        <v>7.8</v>
      </c>
      <c r="L168">
        <v>6.4</v>
      </c>
      <c r="M168" s="2">
        <v>-1.7659999999999999E-2</v>
      </c>
      <c r="N168" s="4">
        <v>1.0268999999999999</v>
      </c>
      <c r="O168" s="4">
        <v>0.99850000000000005</v>
      </c>
      <c r="P168" s="2">
        <v>7.4</v>
      </c>
      <c r="Q168">
        <v>3</v>
      </c>
      <c r="R168" s="4">
        <v>0.99850000000000005</v>
      </c>
    </row>
    <row r="169" spans="1:18" x14ac:dyDescent="0.25">
      <c r="A169" s="1">
        <v>41244</v>
      </c>
      <c r="B169">
        <v>0.8</v>
      </c>
      <c r="C169">
        <v>1.2</v>
      </c>
      <c r="D169">
        <v>1.7</v>
      </c>
      <c r="E169">
        <v>1.4</v>
      </c>
      <c r="F169">
        <v>1.99</v>
      </c>
      <c r="G169">
        <v>2.5</v>
      </c>
      <c r="H169">
        <v>2.1</v>
      </c>
      <c r="I169">
        <v>39.120000000000005</v>
      </c>
      <c r="J169">
        <v>8.3000000000000007</v>
      </c>
      <c r="K169">
        <v>7.6</v>
      </c>
      <c r="L169">
        <v>6.4</v>
      </c>
      <c r="M169" s="2">
        <v>1.635E-2</v>
      </c>
      <c r="N169" s="4">
        <v>1.1084000000000001</v>
      </c>
      <c r="O169" s="4">
        <v>0.99819999999999998</v>
      </c>
      <c r="P169" s="2">
        <v>7.3</v>
      </c>
      <c r="Q169">
        <v>3</v>
      </c>
      <c r="R169" s="4">
        <v>0.99819999999999998</v>
      </c>
    </row>
    <row r="170" spans="1:18" x14ac:dyDescent="0.25">
      <c r="A170" s="1">
        <v>41275</v>
      </c>
      <c r="B170">
        <v>0.5</v>
      </c>
      <c r="C170">
        <v>1</v>
      </c>
      <c r="D170">
        <v>1.5</v>
      </c>
      <c r="E170">
        <v>1.3</v>
      </c>
      <c r="F170">
        <v>2.0299999999999998</v>
      </c>
      <c r="G170">
        <v>2.2000000000000002</v>
      </c>
      <c r="H170">
        <v>1.2</v>
      </c>
      <c r="I170">
        <v>38.69</v>
      </c>
      <c r="J170">
        <v>7</v>
      </c>
      <c r="K170">
        <v>7.3</v>
      </c>
      <c r="L170">
        <v>6.4</v>
      </c>
      <c r="M170" s="2">
        <v>4.2130000000000001E-2</v>
      </c>
      <c r="N170" s="4">
        <v>0.99970000000000003</v>
      </c>
      <c r="O170" s="4">
        <v>1.0047999999999999</v>
      </c>
      <c r="P170" s="2">
        <v>7.1</v>
      </c>
      <c r="Q170">
        <v>3</v>
      </c>
      <c r="R170" s="4">
        <v>1.0047999999999999</v>
      </c>
    </row>
    <row r="171" spans="1:18" x14ac:dyDescent="0.25">
      <c r="A171" s="1">
        <v>41306</v>
      </c>
      <c r="B171">
        <v>1.2</v>
      </c>
      <c r="C171">
        <v>1.2</v>
      </c>
      <c r="D171">
        <v>1.6</v>
      </c>
      <c r="E171">
        <v>1.4</v>
      </c>
      <c r="F171">
        <v>2.0099999999999998</v>
      </c>
      <c r="G171">
        <v>2.2000000000000002</v>
      </c>
      <c r="H171">
        <v>2.7</v>
      </c>
      <c r="I171">
        <v>36.659999999999997</v>
      </c>
      <c r="J171">
        <v>8.8000000000000007</v>
      </c>
      <c r="K171">
        <v>8.4</v>
      </c>
      <c r="L171">
        <v>7</v>
      </c>
      <c r="M171" s="2">
        <v>5.6860000000000001E-2</v>
      </c>
      <c r="N171" s="4">
        <v>1.0189999999999999</v>
      </c>
      <c r="O171" s="4">
        <v>1.0072000000000001</v>
      </c>
      <c r="P171" s="2">
        <v>7.1</v>
      </c>
      <c r="Q171">
        <v>3</v>
      </c>
      <c r="R171" s="4">
        <v>1.0072000000000001</v>
      </c>
    </row>
    <row r="172" spans="1:18" x14ac:dyDescent="0.25">
      <c r="A172" s="1">
        <v>41334</v>
      </c>
      <c r="B172">
        <v>1</v>
      </c>
      <c r="C172">
        <v>1.2</v>
      </c>
      <c r="D172">
        <v>1.6</v>
      </c>
      <c r="E172">
        <v>1.4</v>
      </c>
      <c r="F172">
        <v>2.0099999999999998</v>
      </c>
      <c r="G172">
        <v>2.2000000000000002</v>
      </c>
      <c r="H172">
        <v>1.9</v>
      </c>
      <c r="I172">
        <v>35.25</v>
      </c>
      <c r="J172">
        <v>9.6</v>
      </c>
      <c r="K172">
        <v>9.3000000000000007</v>
      </c>
      <c r="L172">
        <v>7.4</v>
      </c>
      <c r="M172" s="2">
        <v>6.3130000000000006E-2</v>
      </c>
      <c r="N172" s="4">
        <v>1.0244</v>
      </c>
      <c r="O172" s="4">
        <v>1.0065</v>
      </c>
      <c r="P172" s="2">
        <v>7.3</v>
      </c>
      <c r="Q172">
        <v>3</v>
      </c>
      <c r="R172" s="4">
        <v>1.0065</v>
      </c>
    </row>
    <row r="173" spans="1:18" x14ac:dyDescent="0.25">
      <c r="A173" s="1">
        <v>41365</v>
      </c>
      <c r="B173">
        <v>0.4</v>
      </c>
      <c r="C173">
        <v>1</v>
      </c>
      <c r="D173">
        <v>1.5</v>
      </c>
      <c r="E173">
        <v>1.2</v>
      </c>
      <c r="F173">
        <v>1.96</v>
      </c>
      <c r="G173">
        <v>2.6</v>
      </c>
      <c r="H173">
        <v>1.6</v>
      </c>
      <c r="I173">
        <v>35.830000000000013</v>
      </c>
      <c r="J173">
        <v>8.6999999999999993</v>
      </c>
      <c r="K173">
        <v>9</v>
      </c>
      <c r="L173">
        <v>7.3</v>
      </c>
      <c r="M173" s="2">
        <v>6.7799999999999999E-2</v>
      </c>
      <c r="N173" s="4">
        <v>1.0187999999999999</v>
      </c>
      <c r="O173" s="4">
        <v>1.0036</v>
      </c>
      <c r="P173" s="2">
        <v>7.2</v>
      </c>
      <c r="Q173">
        <v>3</v>
      </c>
      <c r="R173" s="4">
        <v>1.0036</v>
      </c>
    </row>
    <row r="174" spans="1:18" x14ac:dyDescent="0.25">
      <c r="A174" s="1">
        <v>41395</v>
      </c>
      <c r="B174">
        <v>0.7</v>
      </c>
      <c r="C174">
        <v>1.1000000000000001</v>
      </c>
      <c r="D174">
        <v>1.5</v>
      </c>
      <c r="E174">
        <v>1.1000000000000001</v>
      </c>
      <c r="F174">
        <v>1.97</v>
      </c>
      <c r="G174">
        <v>2.7</v>
      </c>
      <c r="H174">
        <v>2.2999999999999998</v>
      </c>
      <c r="I174">
        <v>36.099999999999994</v>
      </c>
      <c r="J174">
        <v>7.4</v>
      </c>
      <c r="K174">
        <v>8.1</v>
      </c>
      <c r="L174">
        <v>6.9</v>
      </c>
      <c r="M174" s="2">
        <v>7.4679999999999996E-2</v>
      </c>
      <c r="N174" s="4">
        <v>1.0134000000000001</v>
      </c>
      <c r="O174" s="4">
        <v>1.0063</v>
      </c>
      <c r="P174" s="2">
        <v>7</v>
      </c>
      <c r="Q174">
        <v>3</v>
      </c>
      <c r="R174" s="4">
        <v>1.0063</v>
      </c>
    </row>
    <row r="175" spans="1:18" x14ac:dyDescent="0.25">
      <c r="A175" s="1">
        <v>41426</v>
      </c>
      <c r="B175">
        <v>1.2</v>
      </c>
      <c r="C175">
        <v>1.3</v>
      </c>
      <c r="D175">
        <v>1.7</v>
      </c>
      <c r="E175">
        <v>1.2</v>
      </c>
      <c r="F175">
        <v>1.84</v>
      </c>
      <c r="G175">
        <v>2.4</v>
      </c>
      <c r="H175">
        <v>2.7</v>
      </c>
      <c r="I175">
        <v>35.03</v>
      </c>
      <c r="J175">
        <v>7</v>
      </c>
      <c r="K175">
        <v>7.8</v>
      </c>
      <c r="L175">
        <v>6.6</v>
      </c>
      <c r="M175" s="2">
        <v>8.4089999999999998E-2</v>
      </c>
      <c r="N175" s="4">
        <v>1.0323</v>
      </c>
      <c r="O175" s="4">
        <v>1.0066999999999999</v>
      </c>
      <c r="P175" s="2">
        <v>7.2</v>
      </c>
      <c r="Q175">
        <v>3</v>
      </c>
      <c r="R175" s="4">
        <v>1.0066999999999999</v>
      </c>
    </row>
    <row r="176" spans="1:18" x14ac:dyDescent="0.25">
      <c r="A176" s="1">
        <v>41456</v>
      </c>
      <c r="B176">
        <v>1.3</v>
      </c>
      <c r="C176">
        <v>1.3</v>
      </c>
      <c r="D176">
        <v>1.7</v>
      </c>
      <c r="E176">
        <v>1.3</v>
      </c>
      <c r="F176">
        <v>1.95</v>
      </c>
      <c r="G176">
        <v>1.5</v>
      </c>
      <c r="H176">
        <v>0.8</v>
      </c>
      <c r="I176">
        <v>34.319999999999993</v>
      </c>
      <c r="J176">
        <v>6.8</v>
      </c>
      <c r="K176">
        <v>7.2</v>
      </c>
      <c r="L176">
        <v>6.5</v>
      </c>
      <c r="M176" s="2">
        <v>9.2359999999999998E-2</v>
      </c>
      <c r="N176" s="4">
        <v>1.0546</v>
      </c>
      <c r="O176" s="4">
        <v>0.99980000000000002</v>
      </c>
      <c r="P176" s="2">
        <v>7.1</v>
      </c>
      <c r="Q176">
        <v>3</v>
      </c>
      <c r="R176" s="4">
        <v>0.99980000000000002</v>
      </c>
    </row>
    <row r="177" spans="1:18" x14ac:dyDescent="0.25">
      <c r="A177" s="1">
        <v>41487</v>
      </c>
      <c r="B177">
        <v>1.1000000000000001</v>
      </c>
      <c r="C177">
        <v>1.1000000000000001</v>
      </c>
      <c r="D177">
        <v>1.6</v>
      </c>
      <c r="E177">
        <v>1.1000000000000001</v>
      </c>
      <c r="F177">
        <v>1.99</v>
      </c>
      <c r="G177">
        <v>1.9</v>
      </c>
      <c r="H177">
        <v>1.8</v>
      </c>
      <c r="I177">
        <v>34.050000000000011</v>
      </c>
      <c r="J177">
        <v>7.4</v>
      </c>
      <c r="K177">
        <v>7.8</v>
      </c>
      <c r="L177">
        <v>6.5</v>
      </c>
      <c r="M177" s="2">
        <v>9.6420000000000006E-2</v>
      </c>
      <c r="N177" s="4">
        <v>1.0232000000000001</v>
      </c>
      <c r="O177" s="4">
        <v>0.99780000000000002</v>
      </c>
      <c r="P177" s="2">
        <v>7.1</v>
      </c>
      <c r="Q177">
        <v>3</v>
      </c>
      <c r="R177" s="4">
        <v>0.99780000000000002</v>
      </c>
    </row>
    <row r="178" spans="1:18" x14ac:dyDescent="0.25">
      <c r="A178" s="1">
        <v>41518</v>
      </c>
      <c r="B178">
        <v>1.1000000000000001</v>
      </c>
      <c r="C178">
        <v>1.2</v>
      </c>
      <c r="D178">
        <v>1.6</v>
      </c>
      <c r="E178">
        <v>1.2</v>
      </c>
      <c r="F178">
        <v>1.93</v>
      </c>
      <c r="G178">
        <v>2.2999999999999998</v>
      </c>
      <c r="H178">
        <v>1.2</v>
      </c>
      <c r="I178">
        <v>34.75</v>
      </c>
      <c r="J178">
        <v>8</v>
      </c>
      <c r="K178">
        <v>8.1999999999999993</v>
      </c>
      <c r="L178">
        <v>6.6</v>
      </c>
      <c r="M178" s="2">
        <v>9.3140000000000001E-2</v>
      </c>
      <c r="N178" s="4">
        <v>1.0173000000000001</v>
      </c>
      <c r="O178" s="4">
        <v>0.99480000000000002</v>
      </c>
      <c r="P178" s="2">
        <v>7.1</v>
      </c>
      <c r="Q178">
        <v>3</v>
      </c>
      <c r="R178" s="4">
        <v>0.99480000000000002</v>
      </c>
    </row>
    <row r="179" spans="1:18" x14ac:dyDescent="0.25">
      <c r="A179" s="1">
        <v>41548</v>
      </c>
      <c r="B179">
        <v>0.7</v>
      </c>
      <c r="C179">
        <v>1.2</v>
      </c>
      <c r="D179">
        <v>1.5</v>
      </c>
      <c r="E179">
        <v>1.1000000000000001</v>
      </c>
      <c r="F179">
        <v>1.97</v>
      </c>
      <c r="G179">
        <v>2.2000000000000002</v>
      </c>
      <c r="H179">
        <v>2.2999999999999998</v>
      </c>
      <c r="I179">
        <v>33.599999999999994</v>
      </c>
      <c r="J179">
        <v>8.6999999999999993</v>
      </c>
      <c r="K179">
        <v>8.6</v>
      </c>
      <c r="L179">
        <v>6.4</v>
      </c>
      <c r="M179" s="2">
        <v>7.9009999999999997E-2</v>
      </c>
      <c r="N179" s="4">
        <v>1.0016</v>
      </c>
      <c r="O179" s="4">
        <v>0.99939999999999996</v>
      </c>
      <c r="P179" s="2">
        <v>7.1</v>
      </c>
      <c r="Q179">
        <v>3</v>
      </c>
      <c r="R179" s="4">
        <v>0.99939999999999996</v>
      </c>
    </row>
    <row r="180" spans="1:18" x14ac:dyDescent="0.25">
      <c r="A180" s="1">
        <v>41579</v>
      </c>
      <c r="B180">
        <v>0.9</v>
      </c>
      <c r="C180">
        <v>1.2</v>
      </c>
      <c r="D180">
        <v>1.5</v>
      </c>
      <c r="E180">
        <v>0.9</v>
      </c>
      <c r="F180">
        <v>1.96</v>
      </c>
      <c r="G180">
        <v>2.6</v>
      </c>
      <c r="H180">
        <v>2.9</v>
      </c>
      <c r="I180">
        <v>32.580000000000013</v>
      </c>
      <c r="J180">
        <v>8.8000000000000007</v>
      </c>
      <c r="K180">
        <v>8.6999999999999993</v>
      </c>
      <c r="L180">
        <v>6.5</v>
      </c>
      <c r="M180" s="2">
        <v>5.5719999999999999E-2</v>
      </c>
      <c r="N180" s="4">
        <v>1.0192000000000001</v>
      </c>
      <c r="O180" s="4">
        <v>0.99970000000000003</v>
      </c>
      <c r="P180" s="2">
        <v>7</v>
      </c>
      <c r="Q180">
        <v>3</v>
      </c>
      <c r="R180" s="4">
        <v>0.99970000000000003</v>
      </c>
    </row>
    <row r="181" spans="1:18" x14ac:dyDescent="0.25">
      <c r="A181" s="1">
        <v>41609</v>
      </c>
      <c r="B181">
        <v>1.2</v>
      </c>
      <c r="C181">
        <v>1.4</v>
      </c>
      <c r="D181">
        <v>1.6</v>
      </c>
      <c r="E181">
        <v>1.1000000000000001</v>
      </c>
      <c r="F181">
        <v>1.98</v>
      </c>
      <c r="G181">
        <v>2.2999999999999998</v>
      </c>
      <c r="H181">
        <v>1.8</v>
      </c>
      <c r="I181">
        <v>30.669999999999987</v>
      </c>
      <c r="J181">
        <v>9.1999999999999993</v>
      </c>
      <c r="K181">
        <v>9</v>
      </c>
      <c r="L181">
        <v>6.7</v>
      </c>
      <c r="M181" s="2">
        <v>3.1099999999999999E-2</v>
      </c>
      <c r="N181" s="4">
        <v>1.0304</v>
      </c>
      <c r="O181" s="4">
        <v>1.0012000000000001</v>
      </c>
      <c r="P181" s="2">
        <v>7.3</v>
      </c>
      <c r="Q181">
        <v>3</v>
      </c>
      <c r="R181" s="4">
        <v>1.0012000000000001</v>
      </c>
    </row>
    <row r="182" spans="1:18" x14ac:dyDescent="0.25">
      <c r="A182" s="1">
        <v>41640</v>
      </c>
      <c r="B182">
        <v>1.5</v>
      </c>
      <c r="C182">
        <v>1.5</v>
      </c>
      <c r="D182">
        <v>1.7</v>
      </c>
      <c r="E182">
        <v>1.2</v>
      </c>
      <c r="F182">
        <v>1.95</v>
      </c>
      <c r="G182">
        <v>2.2999999999999998</v>
      </c>
      <c r="H182">
        <v>2.6</v>
      </c>
      <c r="I182">
        <v>27.42</v>
      </c>
      <c r="J182">
        <v>9.9</v>
      </c>
      <c r="K182">
        <v>9.1999999999999993</v>
      </c>
      <c r="L182">
        <v>6.8</v>
      </c>
      <c r="M182" s="2">
        <v>2.0709999999999999E-2</v>
      </c>
      <c r="N182" s="4">
        <v>1.0138</v>
      </c>
      <c r="O182" s="4">
        <v>0.99929999999999997</v>
      </c>
      <c r="P182" s="2">
        <v>7.1</v>
      </c>
      <c r="Q182">
        <v>3</v>
      </c>
      <c r="R182" s="4">
        <v>0.99929999999999997</v>
      </c>
    </row>
    <row r="183" spans="1:18" x14ac:dyDescent="0.25">
      <c r="A183" s="1">
        <v>41671</v>
      </c>
      <c r="B183">
        <v>1.1000000000000001</v>
      </c>
      <c r="C183">
        <v>1.4</v>
      </c>
      <c r="D183">
        <v>1.5</v>
      </c>
      <c r="E183">
        <v>1.1000000000000001</v>
      </c>
      <c r="F183">
        <v>2</v>
      </c>
      <c r="G183">
        <v>2.2999999999999998</v>
      </c>
      <c r="H183">
        <v>1.2</v>
      </c>
      <c r="I183">
        <v>26.049999999999997</v>
      </c>
      <c r="J183">
        <v>7.7</v>
      </c>
      <c r="K183">
        <v>8.1</v>
      </c>
      <c r="L183">
        <v>6.4</v>
      </c>
      <c r="M183" s="2">
        <v>3.0120000000000001E-2</v>
      </c>
      <c r="N183" s="4">
        <v>1.028</v>
      </c>
      <c r="O183" s="4">
        <v>0.99450000000000005</v>
      </c>
      <c r="P183" s="2">
        <v>7.1</v>
      </c>
      <c r="Q183">
        <v>3</v>
      </c>
      <c r="R183" s="4">
        <v>0.99450000000000005</v>
      </c>
    </row>
    <row r="184" spans="1:18" x14ac:dyDescent="0.25">
      <c r="A184" s="1">
        <v>41699</v>
      </c>
      <c r="B184">
        <v>1.5</v>
      </c>
      <c r="C184">
        <v>1.5</v>
      </c>
      <c r="D184">
        <v>1.6</v>
      </c>
      <c r="E184">
        <v>1.3</v>
      </c>
      <c r="F184">
        <v>2.06</v>
      </c>
      <c r="G184">
        <v>2.1</v>
      </c>
      <c r="H184">
        <v>2</v>
      </c>
      <c r="I184">
        <v>25.290000000000006</v>
      </c>
      <c r="J184">
        <v>7.2</v>
      </c>
      <c r="K184">
        <v>7.4</v>
      </c>
      <c r="L184">
        <v>6.2</v>
      </c>
      <c r="M184" s="2">
        <v>5.5669999999999997E-2</v>
      </c>
      <c r="N184" s="4">
        <v>1.0006999999999999</v>
      </c>
      <c r="O184" s="4">
        <v>0.998</v>
      </c>
      <c r="P184" s="2">
        <v>7</v>
      </c>
      <c r="Q184">
        <v>3</v>
      </c>
      <c r="R184" s="4">
        <v>0.998</v>
      </c>
    </row>
    <row r="185" spans="1:18" x14ac:dyDescent="0.25">
      <c r="A185" s="1">
        <v>41730</v>
      </c>
      <c r="B185">
        <v>2</v>
      </c>
      <c r="C185">
        <v>1.6</v>
      </c>
      <c r="D185">
        <v>1.7</v>
      </c>
      <c r="E185">
        <v>1.3</v>
      </c>
      <c r="F185">
        <v>2.0099999999999998</v>
      </c>
      <c r="G185">
        <v>1.9</v>
      </c>
      <c r="H185">
        <v>2.6</v>
      </c>
      <c r="I185">
        <v>26.439999999999998</v>
      </c>
      <c r="J185">
        <v>6.6</v>
      </c>
      <c r="K185">
        <v>6.8</v>
      </c>
      <c r="L185">
        <v>6.2</v>
      </c>
      <c r="M185" s="2">
        <v>8.3809999999999996E-2</v>
      </c>
      <c r="N185" s="4">
        <v>1.0044999999999999</v>
      </c>
      <c r="O185" s="4">
        <v>0.99780000000000002</v>
      </c>
      <c r="P185" s="2">
        <v>7.1</v>
      </c>
      <c r="Q185">
        <v>3</v>
      </c>
      <c r="R185" s="4">
        <v>0.99780000000000002</v>
      </c>
    </row>
    <row r="186" spans="1:18" x14ac:dyDescent="0.25">
      <c r="A186" s="1">
        <v>41760</v>
      </c>
      <c r="B186">
        <v>2.2999999999999998</v>
      </c>
      <c r="C186">
        <v>1.7</v>
      </c>
      <c r="D186">
        <v>1.8</v>
      </c>
      <c r="E186">
        <v>1.3</v>
      </c>
      <c r="F186">
        <v>2</v>
      </c>
      <c r="G186">
        <v>1.3</v>
      </c>
      <c r="H186">
        <v>2.2999999999999998</v>
      </c>
      <c r="I186">
        <v>27.450000000000003</v>
      </c>
      <c r="J186">
        <v>7.5</v>
      </c>
      <c r="K186">
        <v>7.3</v>
      </c>
      <c r="L186">
        <v>6.6</v>
      </c>
      <c r="M186" s="2">
        <v>0.10599</v>
      </c>
      <c r="N186" s="4">
        <v>1.0163</v>
      </c>
      <c r="O186" s="4">
        <v>0.99780000000000002</v>
      </c>
      <c r="P186" s="2">
        <v>7.1</v>
      </c>
      <c r="Q186">
        <v>3</v>
      </c>
      <c r="R186" s="4">
        <v>0.99780000000000002</v>
      </c>
    </row>
    <row r="187" spans="1:18" x14ac:dyDescent="0.25">
      <c r="A187" s="1">
        <v>41791</v>
      </c>
      <c r="B187">
        <v>2.4</v>
      </c>
      <c r="C187">
        <v>1.8</v>
      </c>
      <c r="D187">
        <v>1.8</v>
      </c>
      <c r="E187">
        <v>1.3</v>
      </c>
      <c r="F187">
        <v>2.04</v>
      </c>
      <c r="G187">
        <v>1.6</v>
      </c>
      <c r="H187">
        <v>2.2999999999999998</v>
      </c>
      <c r="I187">
        <v>28.400000000000006</v>
      </c>
      <c r="J187">
        <v>7.3</v>
      </c>
      <c r="K187">
        <v>6.8</v>
      </c>
      <c r="L187">
        <v>6.6</v>
      </c>
      <c r="M187" s="2">
        <v>0.11656</v>
      </c>
      <c r="N187" s="4">
        <v>1.0411999999999999</v>
      </c>
      <c r="O187" s="4">
        <v>0.99880000000000002</v>
      </c>
      <c r="P187" s="2">
        <v>7.1</v>
      </c>
      <c r="Q187">
        <v>3</v>
      </c>
      <c r="R187" s="4">
        <v>0.99880000000000002</v>
      </c>
    </row>
    <row r="188" spans="1:18" x14ac:dyDescent="0.25">
      <c r="A188" s="1">
        <v>41821</v>
      </c>
      <c r="B188">
        <v>2.1</v>
      </c>
      <c r="C188">
        <v>1.6</v>
      </c>
      <c r="D188">
        <v>1.7</v>
      </c>
      <c r="E188">
        <v>1.3</v>
      </c>
      <c r="F188">
        <v>2.0699999999999998</v>
      </c>
      <c r="G188">
        <v>2.2000000000000002</v>
      </c>
      <c r="H188">
        <v>3.5</v>
      </c>
      <c r="I188">
        <v>29.449999999999989</v>
      </c>
      <c r="J188">
        <v>7.2</v>
      </c>
      <c r="K188">
        <v>6.9</v>
      </c>
      <c r="L188">
        <v>6.7</v>
      </c>
      <c r="M188" s="2">
        <v>0.11119</v>
      </c>
      <c r="N188" s="4">
        <v>1.0255000000000001</v>
      </c>
      <c r="O188" s="4">
        <v>0.999</v>
      </c>
      <c r="P188" s="2">
        <v>7.1</v>
      </c>
      <c r="Q188">
        <v>3</v>
      </c>
      <c r="R188" s="4">
        <v>0.999</v>
      </c>
    </row>
    <row r="189" spans="1:18" x14ac:dyDescent="0.25">
      <c r="A189" s="1">
        <v>41852</v>
      </c>
      <c r="B189">
        <v>2.1</v>
      </c>
      <c r="C189">
        <v>1.7</v>
      </c>
      <c r="D189">
        <v>1.7</v>
      </c>
      <c r="E189">
        <v>1.3</v>
      </c>
      <c r="F189">
        <v>1.97</v>
      </c>
      <c r="G189">
        <v>2</v>
      </c>
      <c r="H189">
        <v>2.9</v>
      </c>
      <c r="I189">
        <v>27.689999999999998</v>
      </c>
      <c r="J189">
        <v>7.3</v>
      </c>
      <c r="K189">
        <v>6.8</v>
      </c>
      <c r="L189">
        <v>6.8</v>
      </c>
      <c r="M189" s="2">
        <v>8.7290000000000006E-2</v>
      </c>
      <c r="N189" s="4">
        <v>1.0565</v>
      </c>
      <c r="O189" s="4">
        <v>0.99760000000000004</v>
      </c>
      <c r="P189" s="2">
        <v>7</v>
      </c>
      <c r="Q189">
        <v>3</v>
      </c>
      <c r="R189" s="4">
        <v>0.99760000000000004</v>
      </c>
    </row>
    <row r="190" spans="1:18" x14ac:dyDescent="0.25">
      <c r="A190" s="1">
        <v>41883</v>
      </c>
      <c r="B190">
        <v>2</v>
      </c>
      <c r="C190">
        <v>1.7</v>
      </c>
      <c r="D190">
        <v>1.8</v>
      </c>
      <c r="E190">
        <v>1.3</v>
      </c>
      <c r="F190">
        <v>1.98</v>
      </c>
      <c r="G190">
        <v>1.9</v>
      </c>
      <c r="H190">
        <v>3</v>
      </c>
      <c r="I190">
        <v>27.799999999999997</v>
      </c>
      <c r="J190">
        <v>7.7</v>
      </c>
      <c r="K190">
        <v>7.3</v>
      </c>
      <c r="L190">
        <v>7.1</v>
      </c>
      <c r="M190" s="2">
        <v>4.4389999999999999E-2</v>
      </c>
      <c r="N190" s="4">
        <v>1</v>
      </c>
      <c r="O190" s="4">
        <v>0.99790000000000001</v>
      </c>
      <c r="P190" s="2">
        <v>6.9</v>
      </c>
      <c r="Q190">
        <v>3</v>
      </c>
      <c r="R190" s="4">
        <v>0.99790000000000001</v>
      </c>
    </row>
    <row r="191" spans="1:18" x14ac:dyDescent="0.25">
      <c r="A191" s="1">
        <v>41913</v>
      </c>
      <c r="B191">
        <v>2.4</v>
      </c>
      <c r="C191">
        <v>1.7</v>
      </c>
      <c r="D191">
        <v>1.8</v>
      </c>
      <c r="E191">
        <v>1.4</v>
      </c>
      <c r="F191">
        <v>1.91</v>
      </c>
      <c r="G191">
        <v>1.1000000000000001</v>
      </c>
      <c r="H191">
        <v>2.4</v>
      </c>
      <c r="I191">
        <v>26.28</v>
      </c>
      <c r="J191">
        <v>8.1</v>
      </c>
      <c r="K191">
        <v>7.6</v>
      </c>
      <c r="L191">
        <v>7.2</v>
      </c>
      <c r="M191" s="2">
        <v>-1.4200000000000001E-2</v>
      </c>
      <c r="N191" s="4">
        <v>1.0449999999999999</v>
      </c>
      <c r="O191" s="4">
        <v>1.0024</v>
      </c>
      <c r="P191" s="2">
        <v>6.7</v>
      </c>
      <c r="Q191">
        <v>3</v>
      </c>
      <c r="R191" s="4">
        <v>1.0024</v>
      </c>
    </row>
    <row r="192" spans="1:18" x14ac:dyDescent="0.25">
      <c r="A192" s="1">
        <v>41944</v>
      </c>
      <c r="B192">
        <v>2</v>
      </c>
      <c r="C192">
        <v>1.7</v>
      </c>
      <c r="D192">
        <v>1.8</v>
      </c>
      <c r="E192">
        <v>1.6</v>
      </c>
      <c r="F192">
        <v>1.87</v>
      </c>
      <c r="G192">
        <v>1.1000000000000001</v>
      </c>
      <c r="H192">
        <v>1.5</v>
      </c>
      <c r="I192">
        <v>26.17</v>
      </c>
      <c r="J192">
        <v>7.1</v>
      </c>
      <c r="K192">
        <v>6.7</v>
      </c>
      <c r="L192">
        <v>6.9</v>
      </c>
      <c r="M192" s="2">
        <v>-8.405E-2</v>
      </c>
      <c r="N192" s="4">
        <v>1.0267999999999999</v>
      </c>
      <c r="O192" s="4">
        <v>1</v>
      </c>
      <c r="P192" s="2">
        <v>6.7</v>
      </c>
      <c r="Q192">
        <v>3</v>
      </c>
      <c r="R192" s="4">
        <v>1</v>
      </c>
    </row>
    <row r="193" spans="1:18" x14ac:dyDescent="0.25">
      <c r="A193" s="1">
        <v>41974</v>
      </c>
      <c r="B193">
        <v>1.5</v>
      </c>
      <c r="C193">
        <v>1.7</v>
      </c>
      <c r="D193">
        <v>1.7</v>
      </c>
      <c r="E193">
        <v>1.5</v>
      </c>
      <c r="F193">
        <v>1.71</v>
      </c>
      <c r="G193">
        <v>1.6</v>
      </c>
      <c r="H193">
        <v>2.1</v>
      </c>
      <c r="I193">
        <v>25.340000000000003</v>
      </c>
      <c r="J193">
        <v>6.9</v>
      </c>
      <c r="K193">
        <v>6.4</v>
      </c>
      <c r="L193">
        <v>7</v>
      </c>
      <c r="M193" s="2">
        <v>-0.15542</v>
      </c>
      <c r="N193" s="4">
        <v>1.0499000000000001</v>
      </c>
      <c r="O193" s="4">
        <v>1.0114000000000001</v>
      </c>
      <c r="P193" s="2">
        <v>6.7</v>
      </c>
      <c r="Q193">
        <v>3</v>
      </c>
      <c r="R193" s="4">
        <v>1.0114000000000001</v>
      </c>
    </row>
    <row r="194" spans="1:18" x14ac:dyDescent="0.25">
      <c r="A194" s="1">
        <v>42005</v>
      </c>
      <c r="B194">
        <v>1</v>
      </c>
      <c r="C194">
        <v>1.7</v>
      </c>
      <c r="D194">
        <v>1.8</v>
      </c>
      <c r="E194">
        <v>1.6</v>
      </c>
      <c r="F194">
        <v>1.7</v>
      </c>
      <c r="G194">
        <v>1.7</v>
      </c>
      <c r="H194">
        <v>2.4</v>
      </c>
      <c r="I194">
        <v>20.39</v>
      </c>
      <c r="J194">
        <v>5.8</v>
      </c>
      <c r="K194">
        <v>5.9</v>
      </c>
      <c r="L194">
        <v>7</v>
      </c>
      <c r="M194" s="2">
        <v>-0.20830000000000001</v>
      </c>
      <c r="N194" s="4">
        <v>1.0181</v>
      </c>
      <c r="O194" s="4">
        <v>0.75019999999999998</v>
      </c>
      <c r="P194" s="2">
        <v>6.7</v>
      </c>
      <c r="Q194">
        <v>2.85</v>
      </c>
      <c r="R194" s="4">
        <v>0.75019999999999998</v>
      </c>
    </row>
    <row r="195" spans="1:18" x14ac:dyDescent="0.25">
      <c r="A195" s="1">
        <v>42036</v>
      </c>
      <c r="B195">
        <v>1</v>
      </c>
      <c r="C195">
        <v>1.6</v>
      </c>
      <c r="D195">
        <v>1.7</v>
      </c>
      <c r="E195">
        <v>1.5</v>
      </c>
      <c r="F195">
        <v>1.82</v>
      </c>
      <c r="G195">
        <v>1.6</v>
      </c>
      <c r="H195">
        <v>3.4</v>
      </c>
      <c r="I195">
        <v>17.450000000000003</v>
      </c>
      <c r="J195">
        <v>6.8</v>
      </c>
      <c r="K195">
        <v>6.5</v>
      </c>
      <c r="L195">
        <v>7.3</v>
      </c>
      <c r="M195" s="2">
        <v>-0.23474</v>
      </c>
      <c r="N195" s="4">
        <v>0.87870000000000004</v>
      </c>
      <c r="O195" s="4">
        <v>0.75949999999999995</v>
      </c>
      <c r="P195" s="2">
        <v>6.8</v>
      </c>
      <c r="Q195">
        <v>2.85</v>
      </c>
      <c r="R195" s="4">
        <v>0.75949999999999995</v>
      </c>
    </row>
    <row r="196" spans="1:18" x14ac:dyDescent="0.25">
      <c r="A196" s="1">
        <v>42064</v>
      </c>
      <c r="B196">
        <v>1.2</v>
      </c>
      <c r="C196">
        <v>1.6</v>
      </c>
      <c r="D196">
        <v>1.8</v>
      </c>
      <c r="E196">
        <v>1.5</v>
      </c>
      <c r="F196">
        <v>1.82</v>
      </c>
      <c r="G196">
        <v>1.8</v>
      </c>
      <c r="H196">
        <v>3</v>
      </c>
      <c r="I196">
        <v>17.700000000000003</v>
      </c>
      <c r="J196">
        <v>6.8</v>
      </c>
      <c r="K196">
        <v>6.7</v>
      </c>
      <c r="L196">
        <v>7.3</v>
      </c>
      <c r="M196" s="2">
        <v>-0.23502999999999999</v>
      </c>
      <c r="N196" s="4">
        <v>0.80720000000000003</v>
      </c>
      <c r="O196" s="4">
        <v>0.75580000000000003</v>
      </c>
      <c r="P196" s="2">
        <v>6.9</v>
      </c>
      <c r="Q196">
        <v>2.85</v>
      </c>
      <c r="R196" s="4">
        <v>0.75580000000000003</v>
      </c>
    </row>
    <row r="197" spans="1:18" x14ac:dyDescent="0.25">
      <c r="A197" s="1">
        <v>42095</v>
      </c>
      <c r="B197">
        <v>0.8</v>
      </c>
      <c r="C197">
        <v>1.4</v>
      </c>
      <c r="D197">
        <v>1.6</v>
      </c>
      <c r="E197">
        <v>1.5</v>
      </c>
      <c r="F197">
        <v>1.81</v>
      </c>
      <c r="G197">
        <v>2.2999999999999998</v>
      </c>
      <c r="H197">
        <v>2.2000000000000002</v>
      </c>
      <c r="I197">
        <v>20.120000000000005</v>
      </c>
      <c r="J197">
        <v>7.5</v>
      </c>
      <c r="K197">
        <v>7.2</v>
      </c>
      <c r="L197">
        <v>7.4</v>
      </c>
      <c r="M197" s="2">
        <v>-0.2157</v>
      </c>
      <c r="N197" s="4">
        <v>0.80310000000000004</v>
      </c>
      <c r="O197" s="4">
        <v>0.74729999999999996</v>
      </c>
      <c r="P197" s="2">
        <v>6.9</v>
      </c>
      <c r="Q197">
        <v>2.85</v>
      </c>
      <c r="R197" s="4">
        <v>0.74729999999999996</v>
      </c>
    </row>
    <row r="198" spans="1:18" x14ac:dyDescent="0.25">
      <c r="A198" s="1">
        <v>42125</v>
      </c>
      <c r="B198">
        <v>0.9</v>
      </c>
      <c r="C198">
        <v>1.5</v>
      </c>
      <c r="D198">
        <v>1.7</v>
      </c>
      <c r="E198">
        <v>1.7</v>
      </c>
      <c r="F198">
        <v>1.72</v>
      </c>
      <c r="G198">
        <v>3.1</v>
      </c>
      <c r="H198">
        <v>1.5</v>
      </c>
      <c r="I198">
        <v>21.159999999999997</v>
      </c>
      <c r="J198">
        <v>7.1</v>
      </c>
      <c r="K198">
        <v>7.1</v>
      </c>
      <c r="L198">
        <v>7.2</v>
      </c>
      <c r="M198" s="2">
        <v>-0.18335000000000001</v>
      </c>
      <c r="N198" s="4">
        <v>0.75560000000000005</v>
      </c>
      <c r="O198" s="4">
        <v>0.72699999999999998</v>
      </c>
      <c r="P198" s="2">
        <v>6.9</v>
      </c>
      <c r="Q198">
        <v>2.85</v>
      </c>
      <c r="R198" s="4">
        <v>0.72699999999999998</v>
      </c>
    </row>
    <row r="199" spans="1:18" x14ac:dyDescent="0.25">
      <c r="A199" s="1">
        <v>42156</v>
      </c>
      <c r="B199">
        <v>1</v>
      </c>
      <c r="C199">
        <v>1.5</v>
      </c>
      <c r="D199">
        <v>1.6</v>
      </c>
      <c r="E199">
        <v>1.7</v>
      </c>
      <c r="F199">
        <v>1.77</v>
      </c>
      <c r="G199">
        <v>3</v>
      </c>
      <c r="H199">
        <v>1.9</v>
      </c>
      <c r="I199">
        <v>19.689999999999998</v>
      </c>
      <c r="J199">
        <v>7.7</v>
      </c>
      <c r="K199">
        <v>7.7</v>
      </c>
      <c r="L199">
        <v>7.3</v>
      </c>
      <c r="M199" s="2">
        <v>-0.14595</v>
      </c>
      <c r="N199" s="4">
        <v>0.75800000000000001</v>
      </c>
      <c r="O199" s="4">
        <v>0.74639999999999995</v>
      </c>
      <c r="P199" s="2">
        <v>6.9</v>
      </c>
      <c r="Q199">
        <v>2.85</v>
      </c>
      <c r="R199" s="4">
        <v>0.74639999999999995</v>
      </c>
    </row>
    <row r="200" spans="1:18" x14ac:dyDescent="0.25">
      <c r="A200" s="1">
        <v>42186</v>
      </c>
      <c r="B200">
        <v>1.3</v>
      </c>
      <c r="C200">
        <v>1.6</v>
      </c>
      <c r="D200">
        <v>1.8</v>
      </c>
      <c r="E200">
        <v>1.7</v>
      </c>
      <c r="F200">
        <v>1.72</v>
      </c>
      <c r="G200">
        <v>3.4</v>
      </c>
      <c r="H200">
        <v>1</v>
      </c>
      <c r="I200">
        <v>15.900000000000006</v>
      </c>
      <c r="J200">
        <v>8.8000000000000007</v>
      </c>
      <c r="K200">
        <v>8.6</v>
      </c>
      <c r="L200">
        <v>7.7</v>
      </c>
      <c r="M200" s="2">
        <v>-0.11521000000000001</v>
      </c>
      <c r="N200" s="4">
        <v>0.77329999999999999</v>
      </c>
      <c r="O200" s="4">
        <v>0.50190000000000001</v>
      </c>
      <c r="P200" s="2">
        <v>6.9</v>
      </c>
      <c r="Q200">
        <v>2.7</v>
      </c>
      <c r="R200" s="4">
        <v>0.50190000000000001</v>
      </c>
    </row>
    <row r="201" spans="1:18" x14ac:dyDescent="0.25">
      <c r="A201" s="1">
        <v>42217</v>
      </c>
      <c r="B201">
        <v>1.3</v>
      </c>
      <c r="C201">
        <v>1.6</v>
      </c>
      <c r="D201">
        <v>1.8</v>
      </c>
      <c r="E201">
        <v>1.8</v>
      </c>
      <c r="F201">
        <v>1.42</v>
      </c>
      <c r="G201">
        <v>3.4</v>
      </c>
      <c r="H201">
        <v>1.1000000000000001</v>
      </c>
      <c r="I201">
        <v>14.290000000000006</v>
      </c>
      <c r="J201">
        <v>8.9</v>
      </c>
      <c r="K201">
        <v>8.6999999999999993</v>
      </c>
      <c r="L201">
        <v>7.7</v>
      </c>
      <c r="M201" s="2">
        <v>-9.5329999999999998E-2</v>
      </c>
      <c r="N201" s="4">
        <v>0.54290000000000005</v>
      </c>
      <c r="O201" s="4">
        <v>0.50260000000000005</v>
      </c>
      <c r="P201" s="2">
        <v>7</v>
      </c>
      <c r="Q201">
        <v>2.7</v>
      </c>
      <c r="R201" s="4">
        <v>0.50260000000000005</v>
      </c>
    </row>
    <row r="202" spans="1:18" x14ac:dyDescent="0.25">
      <c r="A202" s="1">
        <v>42248</v>
      </c>
      <c r="B202">
        <v>1</v>
      </c>
      <c r="C202">
        <v>1.6</v>
      </c>
      <c r="D202">
        <v>1.8</v>
      </c>
      <c r="E202">
        <v>1.8</v>
      </c>
      <c r="F202">
        <v>1.52</v>
      </c>
      <c r="G202">
        <v>3</v>
      </c>
      <c r="H202">
        <v>1.3</v>
      </c>
      <c r="I202">
        <v>13.650000000000006</v>
      </c>
      <c r="J202">
        <v>8.9</v>
      </c>
      <c r="K202">
        <v>8.6999999999999993</v>
      </c>
      <c r="L202">
        <v>7.6</v>
      </c>
      <c r="M202" s="2">
        <v>-8.5190000000000002E-2</v>
      </c>
      <c r="N202" s="4">
        <v>0.52690000000000003</v>
      </c>
      <c r="O202" s="4">
        <v>0.50019999999999998</v>
      </c>
      <c r="P202" s="2">
        <v>7.1</v>
      </c>
      <c r="Q202">
        <v>2.7</v>
      </c>
      <c r="R202" s="4">
        <v>0.50019999999999998</v>
      </c>
    </row>
    <row r="203" spans="1:18" x14ac:dyDescent="0.25">
      <c r="A203" s="1">
        <v>42278</v>
      </c>
      <c r="B203">
        <v>1</v>
      </c>
      <c r="C203">
        <v>1.7</v>
      </c>
      <c r="D203">
        <v>1.8</v>
      </c>
      <c r="E203">
        <v>1.9</v>
      </c>
      <c r="F203">
        <v>1.46</v>
      </c>
      <c r="G203">
        <v>3.1</v>
      </c>
      <c r="H203">
        <v>1.5</v>
      </c>
      <c r="I203">
        <v>14.959999999999994</v>
      </c>
      <c r="J203">
        <v>8.1999999999999993</v>
      </c>
      <c r="K203">
        <v>8.1999999999999993</v>
      </c>
      <c r="L203">
        <v>7.4</v>
      </c>
      <c r="M203" s="2">
        <v>-7.9780000000000004E-2</v>
      </c>
      <c r="N203" s="4">
        <v>0.52790000000000004</v>
      </c>
      <c r="O203" s="4">
        <v>0.49909999999999999</v>
      </c>
      <c r="P203" s="2">
        <v>6.9</v>
      </c>
      <c r="Q203">
        <v>2.7</v>
      </c>
      <c r="R203" s="4">
        <v>0.49909999999999999</v>
      </c>
    </row>
    <row r="204" spans="1:18" x14ac:dyDescent="0.25">
      <c r="A204" s="1">
        <v>42309</v>
      </c>
      <c r="B204">
        <v>1.4</v>
      </c>
      <c r="C204">
        <v>1.8</v>
      </c>
      <c r="D204">
        <v>2</v>
      </c>
      <c r="E204">
        <v>2</v>
      </c>
      <c r="F204">
        <v>1.54</v>
      </c>
      <c r="G204">
        <v>3.4</v>
      </c>
      <c r="H204">
        <v>1.6</v>
      </c>
      <c r="I204">
        <v>14.11</v>
      </c>
      <c r="J204">
        <v>8.5</v>
      </c>
      <c r="K204">
        <v>8.6</v>
      </c>
      <c r="L204">
        <v>7.6</v>
      </c>
      <c r="M204" s="2">
        <v>-7.7119999999999994E-2</v>
      </c>
      <c r="N204" s="4">
        <v>0.52680000000000005</v>
      </c>
      <c r="O204" s="4">
        <v>0.49669999999999997</v>
      </c>
      <c r="P204" s="2">
        <v>7.1</v>
      </c>
      <c r="Q204">
        <v>2.7</v>
      </c>
      <c r="R204" s="4">
        <v>0.49669999999999997</v>
      </c>
    </row>
    <row r="205" spans="1:18" x14ac:dyDescent="0.25">
      <c r="A205" s="1">
        <v>42339</v>
      </c>
      <c r="B205">
        <v>1.6</v>
      </c>
      <c r="C205">
        <v>1.8</v>
      </c>
      <c r="D205">
        <v>2.1</v>
      </c>
      <c r="E205">
        <v>1.8</v>
      </c>
      <c r="F205">
        <v>1.49</v>
      </c>
      <c r="G205">
        <v>2.9</v>
      </c>
      <c r="H205">
        <v>1.2</v>
      </c>
      <c r="I205">
        <v>10.86</v>
      </c>
      <c r="J205">
        <v>8.3000000000000007</v>
      </c>
      <c r="K205">
        <v>8.4</v>
      </c>
      <c r="L205">
        <v>7.5</v>
      </c>
      <c r="M205" s="2">
        <v>-7.8600000000000003E-2</v>
      </c>
      <c r="N205" s="4">
        <v>0.53049999999999997</v>
      </c>
      <c r="O205" s="4">
        <v>0.5242</v>
      </c>
      <c r="P205" s="2">
        <v>7.2</v>
      </c>
      <c r="Q205">
        <v>2.7</v>
      </c>
      <c r="R205" s="4">
        <v>0.5242</v>
      </c>
    </row>
    <row r="206" spans="1:18" x14ac:dyDescent="0.25">
      <c r="A206" s="1">
        <v>42370</v>
      </c>
      <c r="B206">
        <v>2</v>
      </c>
      <c r="C206">
        <v>1.8</v>
      </c>
      <c r="D206">
        <v>2</v>
      </c>
      <c r="E206">
        <v>1.9</v>
      </c>
      <c r="F206">
        <v>1.37</v>
      </c>
      <c r="G206">
        <v>2.9</v>
      </c>
      <c r="H206">
        <v>0.9</v>
      </c>
      <c r="I206">
        <v>7.8299999999999983</v>
      </c>
      <c r="J206">
        <v>9</v>
      </c>
      <c r="K206">
        <v>9</v>
      </c>
      <c r="L206">
        <v>7.8</v>
      </c>
      <c r="M206" s="2">
        <v>-8.9209999999999998E-2</v>
      </c>
      <c r="N206" s="4">
        <v>0.52600000000000002</v>
      </c>
      <c r="O206" s="4">
        <v>0.51529999999999998</v>
      </c>
      <c r="P206" s="2">
        <v>7.2</v>
      </c>
      <c r="Q206">
        <v>2.7</v>
      </c>
      <c r="R206" s="4">
        <v>0.51529999999999998</v>
      </c>
    </row>
    <row r="207" spans="1:18" x14ac:dyDescent="0.25">
      <c r="A207" s="1">
        <v>42401</v>
      </c>
      <c r="B207">
        <v>1.4</v>
      </c>
      <c r="C207">
        <v>1.8</v>
      </c>
      <c r="D207">
        <v>2</v>
      </c>
      <c r="E207">
        <v>1.8</v>
      </c>
      <c r="F207">
        <v>1.33</v>
      </c>
      <c r="G207">
        <v>3.3</v>
      </c>
      <c r="H207">
        <v>-0.1</v>
      </c>
      <c r="I207">
        <v>10.790000000000006</v>
      </c>
      <c r="J207">
        <v>8.8000000000000007</v>
      </c>
      <c r="K207">
        <v>9</v>
      </c>
      <c r="L207">
        <v>7.7</v>
      </c>
      <c r="M207" s="2">
        <v>-0.10693999999999999</v>
      </c>
      <c r="N207" s="4">
        <v>0.51539999999999997</v>
      </c>
      <c r="O207" s="4">
        <v>0.49909999999999999</v>
      </c>
      <c r="P207" s="2">
        <v>7.3</v>
      </c>
      <c r="Q207">
        <v>2.7</v>
      </c>
      <c r="R207" s="4">
        <v>0.49909999999999999</v>
      </c>
    </row>
    <row r="208" spans="1:18" x14ac:dyDescent="0.25">
      <c r="A208" s="1">
        <v>42430</v>
      </c>
      <c r="B208">
        <v>1.3</v>
      </c>
      <c r="C208">
        <v>1.8</v>
      </c>
      <c r="D208">
        <v>2</v>
      </c>
      <c r="E208">
        <v>1.8</v>
      </c>
      <c r="F208">
        <v>1.51</v>
      </c>
      <c r="G208">
        <v>3.1</v>
      </c>
      <c r="H208">
        <v>1.4</v>
      </c>
      <c r="I208">
        <v>14.519999999999996</v>
      </c>
      <c r="J208">
        <v>8.4</v>
      </c>
      <c r="K208">
        <v>8.6999999999999993</v>
      </c>
      <c r="L208">
        <v>7.5</v>
      </c>
      <c r="M208" s="2">
        <v>-0.122</v>
      </c>
      <c r="N208" s="4">
        <v>0.50690000000000002</v>
      </c>
      <c r="O208" s="4">
        <v>0.49809999999999999</v>
      </c>
      <c r="P208" s="2">
        <v>7.1</v>
      </c>
      <c r="Q208">
        <v>2.7</v>
      </c>
      <c r="R208" s="4">
        <v>0.49809999999999999</v>
      </c>
    </row>
    <row r="209" spans="1:18" x14ac:dyDescent="0.25">
      <c r="A209" s="1">
        <v>42461</v>
      </c>
      <c r="B209">
        <v>1.7</v>
      </c>
      <c r="C209">
        <v>2</v>
      </c>
      <c r="D209">
        <v>2.1</v>
      </c>
      <c r="E209">
        <v>1.8</v>
      </c>
      <c r="F209">
        <v>1.6</v>
      </c>
      <c r="G209">
        <v>2.9</v>
      </c>
      <c r="H209">
        <v>0.5</v>
      </c>
      <c r="I209">
        <v>17.239999999999995</v>
      </c>
      <c r="J209">
        <v>8.1999999999999993</v>
      </c>
      <c r="K209">
        <v>8.4</v>
      </c>
      <c r="L209">
        <v>7.4</v>
      </c>
      <c r="M209" s="2">
        <v>-0.11566</v>
      </c>
      <c r="N209" s="4">
        <v>0.51049999999999995</v>
      </c>
      <c r="O209" s="4">
        <v>0.50049999999999994</v>
      </c>
      <c r="P209" s="2">
        <v>7.2</v>
      </c>
      <c r="Q209">
        <v>2.7</v>
      </c>
      <c r="R209" s="4">
        <v>0.50049999999999994</v>
      </c>
    </row>
    <row r="210" spans="1:18" x14ac:dyDescent="0.25">
      <c r="A210" s="1">
        <v>42491</v>
      </c>
      <c r="B210">
        <v>1.5</v>
      </c>
      <c r="C210">
        <v>2</v>
      </c>
      <c r="D210">
        <v>2.2000000000000002</v>
      </c>
      <c r="E210">
        <v>1.7</v>
      </c>
      <c r="F210">
        <v>1.54</v>
      </c>
      <c r="G210">
        <v>1.9</v>
      </c>
      <c r="H210">
        <v>1.7</v>
      </c>
      <c r="I210">
        <v>16.78</v>
      </c>
      <c r="J210">
        <v>8.4</v>
      </c>
      <c r="K210">
        <v>8.6</v>
      </c>
      <c r="L210">
        <v>7.6</v>
      </c>
      <c r="M210" s="2">
        <v>-8.2159999999999997E-2</v>
      </c>
      <c r="N210" s="4">
        <v>0.51659999999999995</v>
      </c>
      <c r="O210" s="4">
        <v>0.49740000000000001</v>
      </c>
      <c r="P210" s="2">
        <v>7</v>
      </c>
      <c r="Q210">
        <v>2.7</v>
      </c>
      <c r="R210" s="4">
        <v>0.49740000000000001</v>
      </c>
    </row>
    <row r="211" spans="1:18" x14ac:dyDescent="0.25">
      <c r="A211" s="1">
        <v>42522</v>
      </c>
      <c r="B211">
        <v>1.5</v>
      </c>
      <c r="C211">
        <v>2</v>
      </c>
      <c r="D211">
        <v>2.2000000000000002</v>
      </c>
      <c r="E211">
        <v>1.7</v>
      </c>
      <c r="F211">
        <v>1.4</v>
      </c>
      <c r="G211">
        <v>1.9</v>
      </c>
      <c r="H211">
        <v>0.7</v>
      </c>
      <c r="I211">
        <v>17.480000000000004</v>
      </c>
      <c r="J211">
        <v>8</v>
      </c>
      <c r="K211">
        <v>8.3000000000000007</v>
      </c>
      <c r="L211">
        <v>7.6</v>
      </c>
      <c r="M211" s="2">
        <v>-2.9170000000000001E-2</v>
      </c>
      <c r="N211" s="4">
        <v>0.54530000000000001</v>
      </c>
      <c r="O211" s="4">
        <v>0.50349999999999995</v>
      </c>
      <c r="P211" s="2">
        <v>6.9</v>
      </c>
      <c r="Q211">
        <v>2.7</v>
      </c>
      <c r="R211" s="4">
        <v>0.50349999999999995</v>
      </c>
    </row>
    <row r="212" spans="1:18" x14ac:dyDescent="0.25">
      <c r="A212" s="1">
        <v>42552</v>
      </c>
      <c r="B212">
        <v>1.3</v>
      </c>
      <c r="C212">
        <v>1.9</v>
      </c>
      <c r="D212">
        <v>2</v>
      </c>
      <c r="E212">
        <v>1.6</v>
      </c>
      <c r="F212">
        <v>1.36</v>
      </c>
      <c r="G212">
        <v>1.8</v>
      </c>
      <c r="H212">
        <v>1.8</v>
      </c>
      <c r="I212">
        <v>16.459999999999994</v>
      </c>
      <c r="J212">
        <v>8.5</v>
      </c>
      <c r="K212">
        <v>8.6</v>
      </c>
      <c r="L212">
        <v>7.7</v>
      </c>
      <c r="M212" s="2">
        <v>1.9689999999999999E-2</v>
      </c>
      <c r="N212" s="4">
        <v>0.53339999999999999</v>
      </c>
      <c r="O212" s="4">
        <v>0.50780000000000003</v>
      </c>
      <c r="P212" s="2">
        <v>7</v>
      </c>
      <c r="Q212">
        <v>2.7</v>
      </c>
      <c r="R212" s="4">
        <v>0.50780000000000003</v>
      </c>
    </row>
    <row r="213" spans="1:18" x14ac:dyDescent="0.25">
      <c r="A213" s="1">
        <v>42583</v>
      </c>
      <c r="B213">
        <v>1.1000000000000001</v>
      </c>
      <c r="C213">
        <v>1.8</v>
      </c>
      <c r="D213">
        <v>2</v>
      </c>
      <c r="E213">
        <v>1.5</v>
      </c>
      <c r="F213">
        <v>1.41</v>
      </c>
      <c r="G213">
        <v>1.4</v>
      </c>
      <c r="H213">
        <v>2.1</v>
      </c>
      <c r="I213">
        <v>16.269999999999996</v>
      </c>
      <c r="J213">
        <v>8.3000000000000007</v>
      </c>
      <c r="K213">
        <v>8.4</v>
      </c>
      <c r="L213">
        <v>7.7</v>
      </c>
      <c r="M213" s="2">
        <v>5.4879999999999998E-2</v>
      </c>
      <c r="N213" s="4">
        <v>0.54549999999999998</v>
      </c>
      <c r="O213" s="4">
        <v>0.49259999999999998</v>
      </c>
      <c r="P213" s="2">
        <v>7</v>
      </c>
      <c r="Q213">
        <v>2.7</v>
      </c>
      <c r="R213" s="4">
        <v>0.49259999999999998</v>
      </c>
    </row>
    <row r="214" spans="1:18" x14ac:dyDescent="0.25">
      <c r="A214" s="1">
        <v>42614</v>
      </c>
      <c r="B214">
        <v>1.3</v>
      </c>
      <c r="C214">
        <v>1.8</v>
      </c>
      <c r="D214">
        <v>2.1</v>
      </c>
      <c r="E214">
        <v>1.3</v>
      </c>
      <c r="F214">
        <v>1.46</v>
      </c>
      <c r="G214">
        <v>1.3</v>
      </c>
      <c r="H214">
        <v>1.2</v>
      </c>
      <c r="I214">
        <v>15.780000000000001</v>
      </c>
      <c r="J214">
        <v>8.6</v>
      </c>
      <c r="K214">
        <v>8.5</v>
      </c>
      <c r="L214">
        <v>7.7</v>
      </c>
      <c r="M214" s="2">
        <v>7.7350000000000002E-2</v>
      </c>
      <c r="N214" s="4">
        <v>0.51259999999999994</v>
      </c>
      <c r="O214" s="4">
        <v>0.49690000000000001</v>
      </c>
      <c r="P214" s="2">
        <v>7</v>
      </c>
      <c r="Q214">
        <v>2.7</v>
      </c>
      <c r="R214" s="4">
        <v>0.49690000000000001</v>
      </c>
    </row>
    <row r="215" spans="1:18" x14ac:dyDescent="0.25">
      <c r="A215" s="1">
        <v>42644</v>
      </c>
      <c r="B215">
        <v>1.5</v>
      </c>
      <c r="C215">
        <v>1.8</v>
      </c>
      <c r="D215">
        <v>2.1</v>
      </c>
      <c r="E215">
        <v>1.3</v>
      </c>
      <c r="F215">
        <v>1.57</v>
      </c>
      <c r="G215">
        <v>1.7</v>
      </c>
      <c r="H215">
        <v>1.5</v>
      </c>
      <c r="I215">
        <v>15.079999999999998</v>
      </c>
      <c r="J215">
        <v>9.1999999999999993</v>
      </c>
      <c r="K215">
        <v>9.1999999999999993</v>
      </c>
      <c r="L215">
        <v>8</v>
      </c>
      <c r="M215" s="2">
        <v>9.5949999999999994E-2</v>
      </c>
      <c r="N215" s="4">
        <v>0.51719999999999999</v>
      </c>
      <c r="O215" s="4">
        <v>0.48830000000000001</v>
      </c>
      <c r="P215" s="2">
        <v>7</v>
      </c>
      <c r="Q215">
        <v>2.7</v>
      </c>
      <c r="R215" s="4">
        <v>0.48830000000000001</v>
      </c>
    </row>
    <row r="216" spans="1:18" x14ac:dyDescent="0.25">
      <c r="A216" s="1">
        <v>42675</v>
      </c>
      <c r="B216">
        <v>1.2</v>
      </c>
      <c r="C216">
        <v>1.6</v>
      </c>
      <c r="D216">
        <v>1.9</v>
      </c>
      <c r="E216">
        <v>1</v>
      </c>
      <c r="F216">
        <v>1.81</v>
      </c>
      <c r="G216">
        <v>1.5</v>
      </c>
      <c r="H216">
        <v>1.7</v>
      </c>
      <c r="I216">
        <v>15.099999999999994</v>
      </c>
      <c r="J216">
        <v>9.4</v>
      </c>
      <c r="K216">
        <v>9.6</v>
      </c>
      <c r="L216">
        <v>8</v>
      </c>
      <c r="M216" s="2">
        <v>0.11554</v>
      </c>
      <c r="N216" s="4">
        <v>0.52659999999999996</v>
      </c>
      <c r="O216" s="4">
        <v>0.48930000000000001</v>
      </c>
      <c r="P216" s="2">
        <v>6.9</v>
      </c>
      <c r="Q216">
        <v>2.7</v>
      </c>
      <c r="R216" s="4">
        <v>0.48930000000000001</v>
      </c>
    </row>
    <row r="217" spans="1:18" x14ac:dyDescent="0.25">
      <c r="A217" s="1">
        <v>42705</v>
      </c>
      <c r="B217">
        <v>1.5</v>
      </c>
      <c r="C217">
        <v>1.6</v>
      </c>
      <c r="D217">
        <v>1.9</v>
      </c>
      <c r="E217">
        <v>1.2</v>
      </c>
      <c r="F217">
        <v>1.76</v>
      </c>
      <c r="G217">
        <v>1.6</v>
      </c>
      <c r="H217">
        <v>2.6</v>
      </c>
      <c r="I217">
        <v>17.25</v>
      </c>
      <c r="J217">
        <v>9.6999999999999993</v>
      </c>
      <c r="K217">
        <v>9.6999999999999993</v>
      </c>
      <c r="L217">
        <v>7.7</v>
      </c>
      <c r="M217" s="2">
        <v>0.13563</v>
      </c>
      <c r="N217" s="4">
        <v>0.50939999999999996</v>
      </c>
      <c r="O217" s="4">
        <v>0.49359999999999998</v>
      </c>
      <c r="P217" s="2">
        <v>7</v>
      </c>
      <c r="Q217">
        <v>2.7</v>
      </c>
      <c r="R217" s="4">
        <v>0.49359999999999998</v>
      </c>
    </row>
    <row r="218" spans="1:18" x14ac:dyDescent="0.25">
      <c r="A218" s="1">
        <v>42736</v>
      </c>
      <c r="B218">
        <v>2.1</v>
      </c>
      <c r="C218">
        <v>1.6</v>
      </c>
      <c r="D218">
        <v>1.9</v>
      </c>
      <c r="E218">
        <v>1.1000000000000001</v>
      </c>
      <c r="F218">
        <v>1.75</v>
      </c>
      <c r="G218">
        <v>1.1000000000000001</v>
      </c>
      <c r="H218">
        <v>2.1</v>
      </c>
      <c r="I218">
        <v>18.489999999999995</v>
      </c>
      <c r="J218">
        <v>10.3</v>
      </c>
      <c r="K218">
        <v>10.199999999999999</v>
      </c>
      <c r="L218">
        <v>7.9</v>
      </c>
      <c r="M218" s="2">
        <v>0.14893999999999999</v>
      </c>
      <c r="N218" s="4">
        <v>0.54239999999999999</v>
      </c>
      <c r="O218" s="4">
        <v>0.48849999999999999</v>
      </c>
      <c r="P218" s="2">
        <v>6.8</v>
      </c>
      <c r="Q218">
        <v>2.7</v>
      </c>
      <c r="R218" s="4">
        <v>0.48849999999999999</v>
      </c>
    </row>
    <row r="219" spans="1:18" x14ac:dyDescent="0.25">
      <c r="A219" s="1">
        <v>42767</v>
      </c>
      <c r="B219">
        <v>2</v>
      </c>
      <c r="C219">
        <v>1.5</v>
      </c>
      <c r="D219">
        <v>1.8</v>
      </c>
      <c r="E219">
        <v>1.1000000000000001</v>
      </c>
      <c r="F219">
        <v>1.72</v>
      </c>
      <c r="G219">
        <v>1.2</v>
      </c>
      <c r="H219">
        <v>3.2</v>
      </c>
      <c r="I219">
        <v>18.299999999999997</v>
      </c>
      <c r="J219">
        <v>9.3000000000000007</v>
      </c>
      <c r="K219">
        <v>9.5</v>
      </c>
      <c r="L219">
        <v>7.5</v>
      </c>
      <c r="M219" s="2">
        <v>0.15165999999999999</v>
      </c>
      <c r="N219" s="4">
        <v>0.51659999999999995</v>
      </c>
      <c r="O219" s="4">
        <v>0.48870000000000002</v>
      </c>
      <c r="P219" s="2">
        <v>6.6</v>
      </c>
      <c r="Q219">
        <v>2.7</v>
      </c>
      <c r="R219" s="4">
        <v>0.48870000000000002</v>
      </c>
    </row>
    <row r="220" spans="1:18" x14ac:dyDescent="0.25">
      <c r="A220" s="1">
        <v>42795</v>
      </c>
      <c r="B220">
        <v>1.6</v>
      </c>
      <c r="C220">
        <v>1.4</v>
      </c>
      <c r="D220">
        <v>1.7</v>
      </c>
      <c r="E220">
        <v>1</v>
      </c>
      <c r="F220">
        <v>1.62</v>
      </c>
      <c r="G220">
        <v>1</v>
      </c>
      <c r="H220">
        <v>1.6</v>
      </c>
      <c r="I220">
        <v>15.349999999999994</v>
      </c>
      <c r="J220">
        <v>10.1</v>
      </c>
      <c r="K220">
        <v>10</v>
      </c>
      <c r="L220">
        <v>7.7</v>
      </c>
      <c r="M220" s="2">
        <v>0.14243</v>
      </c>
      <c r="N220" s="4">
        <v>0.4985</v>
      </c>
      <c r="O220" s="4">
        <v>0.50029999999999997</v>
      </c>
      <c r="P220" s="2">
        <v>6.7</v>
      </c>
      <c r="Q220">
        <v>2.7</v>
      </c>
      <c r="R220" s="4">
        <v>0.50029999999999997</v>
      </c>
    </row>
    <row r="221" spans="1:18" x14ac:dyDescent="0.25">
      <c r="A221" s="1">
        <v>42826</v>
      </c>
      <c r="B221">
        <v>1.6</v>
      </c>
      <c r="C221">
        <v>1.3</v>
      </c>
      <c r="D221">
        <v>1.6</v>
      </c>
      <c r="E221">
        <v>1</v>
      </c>
      <c r="F221">
        <v>1.59</v>
      </c>
      <c r="G221">
        <v>0.6</v>
      </c>
      <c r="H221">
        <v>2.9</v>
      </c>
      <c r="I221">
        <v>14.36</v>
      </c>
      <c r="J221">
        <v>11.3</v>
      </c>
      <c r="K221">
        <v>10.6</v>
      </c>
      <c r="L221">
        <v>7.9</v>
      </c>
      <c r="M221" s="2">
        <v>0.12206</v>
      </c>
      <c r="N221" s="4">
        <v>0.53920000000000001</v>
      </c>
      <c r="O221" s="4">
        <v>0.49530000000000002</v>
      </c>
      <c r="P221" s="2">
        <v>6.5</v>
      </c>
      <c r="Q221">
        <v>2.7</v>
      </c>
      <c r="R221" s="4">
        <v>0.49530000000000002</v>
      </c>
    </row>
    <row r="222" spans="1:18" x14ac:dyDescent="0.25">
      <c r="A222" s="1">
        <v>42856</v>
      </c>
      <c r="B222">
        <v>1.3</v>
      </c>
      <c r="C222">
        <v>1.2</v>
      </c>
      <c r="D222">
        <v>1.6</v>
      </c>
      <c r="E222">
        <v>0.8</v>
      </c>
      <c r="F222">
        <v>1.56</v>
      </c>
      <c r="G222">
        <v>1.1000000000000001</v>
      </c>
      <c r="H222">
        <v>1.7</v>
      </c>
      <c r="I222">
        <v>12.599999999999994</v>
      </c>
      <c r="J222">
        <v>12.1</v>
      </c>
      <c r="K222">
        <v>11</v>
      </c>
      <c r="L222">
        <v>8.1</v>
      </c>
      <c r="M222" s="2">
        <v>9.2979999999999993E-2</v>
      </c>
      <c r="N222" s="4">
        <v>0.52280000000000004</v>
      </c>
      <c r="O222" s="4">
        <v>0.48859999999999998</v>
      </c>
      <c r="P222" s="2">
        <v>6.6</v>
      </c>
      <c r="Q222">
        <v>2.7</v>
      </c>
      <c r="R222" s="4">
        <v>0.48859999999999998</v>
      </c>
    </row>
    <row r="223" spans="1:18" x14ac:dyDescent="0.25">
      <c r="A223" s="1">
        <v>42887</v>
      </c>
      <c r="B223">
        <v>1</v>
      </c>
      <c r="C223">
        <v>1.2</v>
      </c>
      <c r="D223">
        <v>1.6</v>
      </c>
      <c r="E223">
        <v>0.9</v>
      </c>
      <c r="F223">
        <v>1.48</v>
      </c>
      <c r="G223">
        <v>1.2</v>
      </c>
      <c r="H223">
        <v>2.4</v>
      </c>
      <c r="I223">
        <v>14.439999999999998</v>
      </c>
      <c r="J223">
        <v>11.9</v>
      </c>
      <c r="K223">
        <v>10.4</v>
      </c>
      <c r="L223">
        <v>7.8</v>
      </c>
      <c r="M223" s="2">
        <v>6.0659999999999999E-2</v>
      </c>
      <c r="N223" s="4">
        <v>0.52049999999999996</v>
      </c>
      <c r="O223" s="4">
        <v>0.49409999999999998</v>
      </c>
      <c r="P223" s="2">
        <v>6.5</v>
      </c>
      <c r="Q223">
        <v>2.7</v>
      </c>
      <c r="R223" s="4">
        <v>0.49409999999999998</v>
      </c>
    </row>
    <row r="224" spans="1:18" x14ac:dyDescent="0.25">
      <c r="A224" s="1">
        <v>42917</v>
      </c>
      <c r="B224">
        <v>1.2</v>
      </c>
      <c r="C224">
        <v>1.3</v>
      </c>
      <c r="D224">
        <v>1.7</v>
      </c>
      <c r="E224">
        <v>1.1000000000000001</v>
      </c>
      <c r="F224">
        <v>1.61</v>
      </c>
      <c r="G224">
        <v>1.1000000000000001</v>
      </c>
      <c r="H224">
        <v>1.4</v>
      </c>
      <c r="I224">
        <v>19.159999999999997</v>
      </c>
      <c r="J224">
        <v>10.1</v>
      </c>
      <c r="K224">
        <v>8.9</v>
      </c>
      <c r="L224">
        <v>7.1</v>
      </c>
      <c r="M224" s="2">
        <v>3.5619999999999999E-2</v>
      </c>
      <c r="N224" s="4">
        <v>0.51670000000000005</v>
      </c>
      <c r="O224" s="4">
        <v>0.74139999999999995</v>
      </c>
      <c r="P224" s="2">
        <v>6.3</v>
      </c>
      <c r="Q224">
        <v>2.95</v>
      </c>
      <c r="R224" s="4">
        <v>0.74139999999999995</v>
      </c>
    </row>
    <row r="225" spans="1:18" x14ac:dyDescent="0.25">
      <c r="A225" s="1">
        <v>42948</v>
      </c>
      <c r="B225">
        <v>1.4</v>
      </c>
      <c r="C225">
        <v>1.4</v>
      </c>
      <c r="D225">
        <v>1.7</v>
      </c>
      <c r="E225">
        <v>1.2</v>
      </c>
      <c r="F225">
        <v>1.57</v>
      </c>
      <c r="G225">
        <v>1.6</v>
      </c>
      <c r="H225">
        <v>1.2</v>
      </c>
      <c r="I225">
        <v>19.120000000000005</v>
      </c>
      <c r="J225">
        <v>9</v>
      </c>
      <c r="K225">
        <v>8</v>
      </c>
      <c r="L225">
        <v>6.6</v>
      </c>
      <c r="M225" s="2">
        <v>2.2610000000000002E-2</v>
      </c>
      <c r="N225" s="4">
        <v>0.74819999999999998</v>
      </c>
      <c r="O225" s="4">
        <v>0.74729999999999996</v>
      </c>
      <c r="P225" s="2">
        <v>6.2</v>
      </c>
      <c r="Q225">
        <v>2.95</v>
      </c>
      <c r="R225" s="4">
        <v>0.74729999999999996</v>
      </c>
    </row>
    <row r="226" spans="1:18" x14ac:dyDescent="0.25">
      <c r="A226" s="1">
        <v>42979</v>
      </c>
      <c r="B226">
        <v>1.6</v>
      </c>
      <c r="C226">
        <v>1.4</v>
      </c>
      <c r="D226">
        <v>1.6</v>
      </c>
      <c r="E226">
        <v>1.2</v>
      </c>
      <c r="F226">
        <v>1.66</v>
      </c>
      <c r="G226">
        <v>2.1</v>
      </c>
      <c r="H226">
        <v>3.3</v>
      </c>
      <c r="I226">
        <v>21.849999999999994</v>
      </c>
      <c r="J226">
        <v>8</v>
      </c>
      <c r="K226">
        <v>7.1</v>
      </c>
      <c r="L226">
        <v>6.4</v>
      </c>
      <c r="M226" s="2">
        <v>2.2450000000000001E-2</v>
      </c>
      <c r="N226" s="4">
        <v>0.7903</v>
      </c>
      <c r="O226" s="4">
        <v>0.99409999999999998</v>
      </c>
      <c r="P226" s="2">
        <v>6.2</v>
      </c>
      <c r="Q226">
        <v>3.2</v>
      </c>
      <c r="R226" s="4">
        <v>0.99409999999999998</v>
      </c>
    </row>
    <row r="227" spans="1:18" x14ac:dyDescent="0.25">
      <c r="A227" s="1">
        <v>43009</v>
      </c>
      <c r="B227">
        <v>1.4</v>
      </c>
      <c r="C227">
        <v>1.4</v>
      </c>
      <c r="D227">
        <v>1.6</v>
      </c>
      <c r="E227">
        <v>1.3</v>
      </c>
      <c r="F227">
        <v>1.62</v>
      </c>
      <c r="G227">
        <v>2.2999999999999998</v>
      </c>
      <c r="H227">
        <v>1.9</v>
      </c>
      <c r="I227">
        <v>19.86</v>
      </c>
      <c r="J227">
        <v>7.6</v>
      </c>
      <c r="K227">
        <v>6.6</v>
      </c>
      <c r="L227">
        <v>6.2</v>
      </c>
      <c r="M227" s="2">
        <v>3.2989999999999998E-2</v>
      </c>
      <c r="N227" s="4">
        <v>1.0373000000000001</v>
      </c>
      <c r="O227" s="4">
        <v>0.99550000000000005</v>
      </c>
      <c r="P227" s="2">
        <v>6.3</v>
      </c>
      <c r="Q227">
        <v>3.2</v>
      </c>
      <c r="R227" s="4">
        <v>0.99550000000000005</v>
      </c>
    </row>
    <row r="228" spans="1:18" x14ac:dyDescent="0.25">
      <c r="A228" s="1">
        <v>43040</v>
      </c>
      <c r="B228">
        <v>2.1</v>
      </c>
      <c r="C228">
        <v>1.7</v>
      </c>
      <c r="D228">
        <v>1.7</v>
      </c>
      <c r="E228">
        <v>1.4</v>
      </c>
      <c r="F228">
        <v>1.63</v>
      </c>
      <c r="G228">
        <v>2.7</v>
      </c>
      <c r="H228">
        <v>2.2000000000000002</v>
      </c>
      <c r="I228">
        <v>18.349999999999994</v>
      </c>
      <c r="J228">
        <v>7.1</v>
      </c>
      <c r="K228">
        <v>6</v>
      </c>
      <c r="L228">
        <v>6</v>
      </c>
      <c r="M228" s="2">
        <v>5.1339999999999997E-2</v>
      </c>
      <c r="N228" s="4">
        <v>1.0066999999999999</v>
      </c>
      <c r="O228" s="4">
        <v>0.99160000000000004</v>
      </c>
      <c r="P228" s="2">
        <v>6</v>
      </c>
      <c r="Q228">
        <v>3.2</v>
      </c>
      <c r="R228" s="4">
        <v>0.99160000000000004</v>
      </c>
    </row>
    <row r="229" spans="1:18" x14ac:dyDescent="0.25">
      <c r="A229" s="1">
        <v>43070</v>
      </c>
      <c r="B229">
        <v>1.9</v>
      </c>
      <c r="C229">
        <v>1.7</v>
      </c>
      <c r="D229">
        <v>1.8</v>
      </c>
      <c r="E229">
        <v>1.5</v>
      </c>
      <c r="F229">
        <v>1.68</v>
      </c>
      <c r="G229">
        <v>2.7</v>
      </c>
      <c r="H229">
        <v>1.8</v>
      </c>
      <c r="I229">
        <v>18.22</v>
      </c>
      <c r="J229">
        <v>7.4</v>
      </c>
      <c r="K229">
        <v>6.5</v>
      </c>
      <c r="L229">
        <v>6.4</v>
      </c>
      <c r="M229" s="2">
        <v>7.3150000000000007E-2</v>
      </c>
      <c r="N229" s="4">
        <v>1.0212000000000001</v>
      </c>
      <c r="O229" s="4">
        <v>0.997</v>
      </c>
      <c r="P229" s="2">
        <v>5.9</v>
      </c>
      <c r="Q229">
        <v>3.2</v>
      </c>
      <c r="R229" s="4">
        <v>0.997</v>
      </c>
    </row>
    <row r="230" spans="1:18" x14ac:dyDescent="0.25">
      <c r="A230" s="1">
        <v>43101</v>
      </c>
      <c r="B230">
        <v>1.7</v>
      </c>
      <c r="C230">
        <v>1.8</v>
      </c>
      <c r="D230">
        <v>1.8</v>
      </c>
      <c r="E230">
        <v>1.6</v>
      </c>
      <c r="F230">
        <v>1.76</v>
      </c>
      <c r="G230">
        <v>3.3</v>
      </c>
      <c r="H230">
        <v>2.8</v>
      </c>
      <c r="I230">
        <v>19.959999999999994</v>
      </c>
      <c r="J230">
        <v>6.5</v>
      </c>
      <c r="K230">
        <v>5.6</v>
      </c>
      <c r="L230">
        <v>6</v>
      </c>
      <c r="M230" s="2">
        <v>9.1350000000000001E-2</v>
      </c>
      <c r="N230" s="4">
        <v>1.0105999999999999</v>
      </c>
      <c r="O230" s="4">
        <v>1.2461</v>
      </c>
      <c r="P230" s="2">
        <v>6</v>
      </c>
      <c r="Q230">
        <v>3.45</v>
      </c>
      <c r="R230" s="4">
        <v>1.2461</v>
      </c>
    </row>
    <row r="231" spans="1:18" x14ac:dyDescent="0.25">
      <c r="A231" s="1">
        <v>43132</v>
      </c>
      <c r="B231">
        <v>2.2000000000000002</v>
      </c>
      <c r="C231">
        <v>2</v>
      </c>
      <c r="D231">
        <v>1.9</v>
      </c>
      <c r="E231">
        <v>1.8</v>
      </c>
      <c r="F231">
        <v>1.78</v>
      </c>
      <c r="G231">
        <v>3.1</v>
      </c>
      <c r="H231">
        <v>2.7</v>
      </c>
      <c r="I231">
        <v>17.760000000000005</v>
      </c>
      <c r="J231">
        <v>7.3</v>
      </c>
      <c r="K231">
        <v>5.9</v>
      </c>
      <c r="L231">
        <v>6.1</v>
      </c>
      <c r="M231" s="2">
        <v>0.10261000000000001</v>
      </c>
      <c r="N231" s="4">
        <v>1.2453000000000001</v>
      </c>
      <c r="O231" s="4">
        <v>1.2366999999999999</v>
      </c>
      <c r="P231" s="2">
        <v>5.9</v>
      </c>
      <c r="Q231">
        <v>3.45</v>
      </c>
      <c r="R231" s="4">
        <v>1.2366999999999999</v>
      </c>
    </row>
    <row r="232" spans="1:18" x14ac:dyDescent="0.25">
      <c r="A232" s="1">
        <v>43160</v>
      </c>
      <c r="B232">
        <v>2.2999999999999998</v>
      </c>
      <c r="C232">
        <v>1.9</v>
      </c>
      <c r="D232">
        <v>1.9</v>
      </c>
      <c r="E232">
        <v>1.9</v>
      </c>
      <c r="F232">
        <v>1.7</v>
      </c>
      <c r="G232">
        <v>3.1</v>
      </c>
      <c r="H232">
        <v>2.2999999999999998</v>
      </c>
      <c r="I232">
        <v>14.569999999999993</v>
      </c>
      <c r="J232">
        <v>6.7</v>
      </c>
      <c r="K232">
        <v>5.4</v>
      </c>
      <c r="L232">
        <v>6</v>
      </c>
      <c r="M232" s="2">
        <v>0.10609</v>
      </c>
      <c r="N232" s="4">
        <v>1.252</v>
      </c>
      <c r="O232" s="4">
        <v>1.2457</v>
      </c>
      <c r="P232" s="2">
        <v>5.9</v>
      </c>
      <c r="Q232">
        <v>3.45</v>
      </c>
      <c r="R232" s="4">
        <v>1.2457</v>
      </c>
    </row>
    <row r="233" spans="1:18" x14ac:dyDescent="0.25">
      <c r="A233" s="1">
        <v>43191</v>
      </c>
      <c r="B233">
        <v>2.2000000000000002</v>
      </c>
      <c r="C233">
        <v>2</v>
      </c>
      <c r="D233">
        <v>2</v>
      </c>
      <c r="E233">
        <v>1.9</v>
      </c>
      <c r="F233">
        <v>1.75</v>
      </c>
      <c r="G233">
        <v>3.5</v>
      </c>
      <c r="H233">
        <v>2.2999999999999998</v>
      </c>
      <c r="I233">
        <v>16.459999999999994</v>
      </c>
      <c r="J233">
        <v>5.2</v>
      </c>
      <c r="K233">
        <v>4.0999999999999996</v>
      </c>
      <c r="L233">
        <v>5.4</v>
      </c>
      <c r="M233" s="2">
        <v>0.10262</v>
      </c>
      <c r="N233" s="4">
        <v>1.3111999999999999</v>
      </c>
      <c r="O233" s="4">
        <v>1.2461</v>
      </c>
      <c r="P233" s="2">
        <v>5.9</v>
      </c>
      <c r="Q233">
        <v>3.45</v>
      </c>
      <c r="R233" s="4">
        <v>1.2461</v>
      </c>
    </row>
    <row r="234" spans="1:18" x14ac:dyDescent="0.25">
      <c r="A234" s="1">
        <v>43221</v>
      </c>
      <c r="B234">
        <v>2.2000000000000002</v>
      </c>
      <c r="C234">
        <v>1.8</v>
      </c>
      <c r="D234">
        <v>1.9</v>
      </c>
      <c r="E234">
        <v>1.9</v>
      </c>
      <c r="F234">
        <v>1.74</v>
      </c>
      <c r="G234">
        <v>3.9</v>
      </c>
      <c r="H234">
        <v>2.1</v>
      </c>
      <c r="I234">
        <v>17.060000000000002</v>
      </c>
      <c r="J234">
        <v>3.4</v>
      </c>
      <c r="K234">
        <v>2.6</v>
      </c>
      <c r="L234">
        <v>4.8</v>
      </c>
      <c r="M234" s="2">
        <v>9.2689999999999995E-2</v>
      </c>
      <c r="N234" s="4">
        <v>1.2696000000000001</v>
      </c>
      <c r="O234" s="4">
        <v>1.2434000000000001</v>
      </c>
      <c r="P234" s="2">
        <v>6</v>
      </c>
      <c r="Q234">
        <v>3.45</v>
      </c>
      <c r="R234" s="4">
        <v>1.2434000000000001</v>
      </c>
    </row>
    <row r="235" spans="1:18" x14ac:dyDescent="0.25">
      <c r="A235" s="1">
        <v>43252</v>
      </c>
      <c r="B235">
        <v>2.5</v>
      </c>
      <c r="C235">
        <v>2</v>
      </c>
      <c r="D235">
        <v>1.9</v>
      </c>
      <c r="E235">
        <v>1.9</v>
      </c>
      <c r="F235">
        <v>1.73</v>
      </c>
      <c r="G235">
        <v>3.5</v>
      </c>
      <c r="H235">
        <v>2.7</v>
      </c>
      <c r="I235">
        <v>15.780000000000001</v>
      </c>
      <c r="J235">
        <v>3.4</v>
      </c>
      <c r="K235">
        <v>2.7</v>
      </c>
      <c r="L235">
        <v>4.9000000000000004</v>
      </c>
      <c r="M235" s="2">
        <v>7.6759999999999995E-2</v>
      </c>
      <c r="N235" s="4">
        <v>1.3045</v>
      </c>
      <c r="O235" s="4">
        <v>1.2464</v>
      </c>
      <c r="P235" s="2">
        <v>6.1</v>
      </c>
      <c r="Q235">
        <v>3.45</v>
      </c>
      <c r="R235" s="4">
        <v>1.2464</v>
      </c>
    </row>
    <row r="236" spans="1:18" x14ac:dyDescent="0.25">
      <c r="A236" s="1">
        <v>43282</v>
      </c>
      <c r="B236">
        <v>3</v>
      </c>
      <c r="C236">
        <v>2</v>
      </c>
      <c r="D236">
        <v>1.9</v>
      </c>
      <c r="E236">
        <v>2.1</v>
      </c>
      <c r="F236">
        <v>1.69</v>
      </c>
      <c r="G236">
        <v>3.1</v>
      </c>
      <c r="H236">
        <v>2.2000000000000002</v>
      </c>
      <c r="I236">
        <v>15.989999999999995</v>
      </c>
      <c r="J236">
        <v>3.2</v>
      </c>
      <c r="K236">
        <v>2.6</v>
      </c>
      <c r="L236">
        <v>4.8</v>
      </c>
      <c r="M236" s="2">
        <v>5.5989999999999998E-2</v>
      </c>
      <c r="N236" s="4">
        <v>1.2613000000000001</v>
      </c>
      <c r="O236" s="4">
        <v>1.4947999999999999</v>
      </c>
      <c r="P236" s="2">
        <v>5.8</v>
      </c>
      <c r="Q236">
        <v>3.7</v>
      </c>
      <c r="R236" s="4">
        <v>1.4947999999999999</v>
      </c>
    </row>
    <row r="237" spans="1:18" x14ac:dyDescent="0.25">
      <c r="A237" s="1">
        <v>43313</v>
      </c>
      <c r="B237">
        <v>2.8</v>
      </c>
      <c r="C237">
        <v>2.1</v>
      </c>
      <c r="D237">
        <v>2</v>
      </c>
      <c r="E237">
        <v>2</v>
      </c>
      <c r="F237">
        <v>1.72</v>
      </c>
      <c r="G237">
        <v>2.7</v>
      </c>
      <c r="H237">
        <v>3.1</v>
      </c>
      <c r="I237">
        <v>17.39</v>
      </c>
      <c r="J237">
        <v>3.8</v>
      </c>
      <c r="K237">
        <v>2.9</v>
      </c>
      <c r="L237">
        <v>5.0999999999999996</v>
      </c>
      <c r="M237" s="2">
        <v>3.1519999999999999E-2</v>
      </c>
      <c r="N237" s="4">
        <v>1.5577000000000001</v>
      </c>
      <c r="O237" s="4">
        <v>1.4961</v>
      </c>
      <c r="P237" s="2">
        <v>6</v>
      </c>
      <c r="Q237">
        <v>3.7</v>
      </c>
      <c r="R237" s="4">
        <v>1.4961</v>
      </c>
    </row>
    <row r="238" spans="1:18" x14ac:dyDescent="0.25">
      <c r="A238" s="1">
        <v>43344</v>
      </c>
      <c r="B238">
        <v>2.2000000000000002</v>
      </c>
      <c r="C238">
        <v>2</v>
      </c>
      <c r="D238">
        <v>1.9</v>
      </c>
      <c r="E238">
        <v>1.9</v>
      </c>
      <c r="F238">
        <v>1.76</v>
      </c>
      <c r="G238">
        <v>2.2000000000000002</v>
      </c>
      <c r="H238">
        <v>2</v>
      </c>
      <c r="I238">
        <v>17.540000000000006</v>
      </c>
      <c r="J238">
        <v>4.2</v>
      </c>
      <c r="K238">
        <v>3.2</v>
      </c>
      <c r="L238">
        <v>5.0999999999999996</v>
      </c>
      <c r="M238" s="2">
        <v>6.0400000000000002E-3</v>
      </c>
      <c r="N238" s="4">
        <v>1.5113000000000001</v>
      </c>
      <c r="O238" s="4">
        <v>1.4979</v>
      </c>
      <c r="P238" s="2">
        <v>5.9</v>
      </c>
      <c r="Q238">
        <v>3.7</v>
      </c>
      <c r="R238" s="4">
        <v>1.4979</v>
      </c>
    </row>
    <row r="239" spans="1:18" x14ac:dyDescent="0.25">
      <c r="A239" s="1">
        <v>43374</v>
      </c>
      <c r="B239">
        <v>2.4</v>
      </c>
      <c r="C239">
        <v>2</v>
      </c>
      <c r="D239">
        <v>2</v>
      </c>
      <c r="E239">
        <v>1.9</v>
      </c>
      <c r="F239">
        <v>1.71</v>
      </c>
      <c r="G239">
        <v>2.1</v>
      </c>
      <c r="H239">
        <v>3</v>
      </c>
      <c r="I239">
        <v>18.200000000000003</v>
      </c>
      <c r="J239">
        <v>4.0999999999999996</v>
      </c>
      <c r="K239">
        <v>3.4</v>
      </c>
      <c r="L239">
        <v>5</v>
      </c>
      <c r="M239" s="2">
        <v>-1.443E-2</v>
      </c>
      <c r="N239" s="4">
        <v>1.5334000000000001</v>
      </c>
      <c r="O239" s="4">
        <v>1.7476</v>
      </c>
      <c r="P239" s="2">
        <v>5.9</v>
      </c>
      <c r="Q239">
        <v>3.95</v>
      </c>
      <c r="R239" s="4">
        <v>1.7476</v>
      </c>
    </row>
    <row r="240" spans="1:18" x14ac:dyDescent="0.25">
      <c r="A240" s="1">
        <v>43405</v>
      </c>
      <c r="B240">
        <v>1.7</v>
      </c>
      <c r="C240">
        <v>1.9</v>
      </c>
      <c r="D240">
        <v>1.9</v>
      </c>
      <c r="E240">
        <v>1.8</v>
      </c>
      <c r="F240">
        <v>1.57</v>
      </c>
      <c r="G240">
        <v>1.6</v>
      </c>
      <c r="H240">
        <v>2.6</v>
      </c>
      <c r="I240">
        <v>17.22</v>
      </c>
      <c r="J240">
        <v>4.9000000000000004</v>
      </c>
      <c r="K240">
        <v>3.8</v>
      </c>
      <c r="L240">
        <v>5.0999999999999996</v>
      </c>
      <c r="M240" s="2">
        <v>-2.6210000000000001E-2</v>
      </c>
      <c r="N240" s="4">
        <v>1.7647999999999999</v>
      </c>
      <c r="O240" s="4">
        <v>1.7473000000000001</v>
      </c>
      <c r="P240" s="2">
        <v>5.7</v>
      </c>
      <c r="Q240">
        <v>3.95</v>
      </c>
      <c r="R240" s="4">
        <v>1.7473000000000001</v>
      </c>
    </row>
    <row r="241" spans="1:18" x14ac:dyDescent="0.25">
      <c r="A241" s="1">
        <v>43435</v>
      </c>
      <c r="B241">
        <v>2</v>
      </c>
      <c r="C241">
        <v>1.9</v>
      </c>
      <c r="D241">
        <v>1.9</v>
      </c>
      <c r="E241">
        <v>1.8</v>
      </c>
      <c r="F241">
        <v>1.4</v>
      </c>
      <c r="G241">
        <v>1.8</v>
      </c>
      <c r="H241">
        <v>2.9</v>
      </c>
      <c r="I241">
        <v>15.019999999999996</v>
      </c>
      <c r="J241">
        <v>5.4</v>
      </c>
      <c r="K241">
        <v>3.8</v>
      </c>
      <c r="L241">
        <v>5.2</v>
      </c>
      <c r="M241" s="2">
        <v>-2.639E-2</v>
      </c>
      <c r="N241" s="4">
        <v>1.7561</v>
      </c>
      <c r="O241" s="4">
        <v>1.7516</v>
      </c>
      <c r="P241" s="2">
        <v>5.8</v>
      </c>
      <c r="Q241">
        <v>3.95</v>
      </c>
      <c r="R241" s="4">
        <v>1.7516</v>
      </c>
    </row>
    <row r="242" spans="1:18" x14ac:dyDescent="0.25">
      <c r="A242" s="1">
        <v>43466</v>
      </c>
      <c r="B242">
        <v>1.4</v>
      </c>
      <c r="C242">
        <v>1.9</v>
      </c>
      <c r="D242">
        <v>1.8</v>
      </c>
      <c r="E242">
        <v>1.7</v>
      </c>
      <c r="F242">
        <v>1.45</v>
      </c>
      <c r="G242">
        <v>1.9</v>
      </c>
      <c r="H242">
        <v>2.1</v>
      </c>
      <c r="I242">
        <v>15.079999999999998</v>
      </c>
      <c r="J242">
        <v>4.5999999999999996</v>
      </c>
      <c r="K242">
        <v>3.9</v>
      </c>
      <c r="L242">
        <v>5.2</v>
      </c>
      <c r="M242" s="2">
        <v>-1.187E-2</v>
      </c>
      <c r="N242" s="4">
        <v>1.7988999999999999</v>
      </c>
      <c r="O242" s="4">
        <v>1.7462</v>
      </c>
      <c r="P242" s="2">
        <v>5.9</v>
      </c>
      <c r="Q242">
        <v>3.95</v>
      </c>
      <c r="R242" s="4">
        <v>1.7462</v>
      </c>
    </row>
    <row r="243" spans="1:18" x14ac:dyDescent="0.25">
      <c r="A243" s="1">
        <v>43497</v>
      </c>
      <c r="B243">
        <v>1.5</v>
      </c>
      <c r="C243">
        <v>1.9</v>
      </c>
      <c r="D243">
        <v>1.9</v>
      </c>
      <c r="E243">
        <v>1.9</v>
      </c>
      <c r="F243">
        <v>1.47</v>
      </c>
      <c r="G243">
        <v>2.2000000000000002</v>
      </c>
      <c r="H243">
        <v>1.4</v>
      </c>
      <c r="I243">
        <v>15.950000000000003</v>
      </c>
      <c r="J243">
        <v>4.0999999999999996</v>
      </c>
      <c r="K243">
        <v>3.6</v>
      </c>
      <c r="L243">
        <v>5.2</v>
      </c>
      <c r="M243" s="2">
        <v>1.5259999999999999E-2</v>
      </c>
      <c r="N243" s="4">
        <v>1.7447999999999999</v>
      </c>
      <c r="O243" s="4">
        <v>1.7455000000000001</v>
      </c>
      <c r="P243" s="2">
        <v>5.9</v>
      </c>
      <c r="Q243">
        <v>3.95</v>
      </c>
      <c r="R243" s="4">
        <v>1.7455000000000001</v>
      </c>
    </row>
    <row r="244" spans="1:18" x14ac:dyDescent="0.25">
      <c r="A244" s="1">
        <v>43525</v>
      </c>
      <c r="B244">
        <v>1.9</v>
      </c>
      <c r="C244">
        <v>2.2000000000000002</v>
      </c>
      <c r="D244">
        <v>2</v>
      </c>
      <c r="E244">
        <v>1.9</v>
      </c>
      <c r="F244">
        <v>1.44</v>
      </c>
      <c r="G244">
        <v>2.5</v>
      </c>
      <c r="H244">
        <v>2.1</v>
      </c>
      <c r="I244">
        <v>14.659999999999997</v>
      </c>
      <c r="J244">
        <v>3.9</v>
      </c>
      <c r="K244">
        <v>3.9</v>
      </c>
      <c r="L244">
        <v>5.3</v>
      </c>
      <c r="M244" s="2">
        <v>4.6800000000000001E-2</v>
      </c>
      <c r="N244" s="4">
        <v>1.7415</v>
      </c>
      <c r="O244" s="4">
        <v>1.7461</v>
      </c>
      <c r="P244" s="2">
        <v>5.8</v>
      </c>
      <c r="Q244">
        <v>3.95</v>
      </c>
      <c r="R244" s="4">
        <v>1.7461</v>
      </c>
    </row>
    <row r="245" spans="1:18" x14ac:dyDescent="0.25">
      <c r="A245" s="1">
        <v>43556</v>
      </c>
      <c r="B245">
        <v>2</v>
      </c>
      <c r="C245">
        <v>2</v>
      </c>
      <c r="D245">
        <v>2</v>
      </c>
      <c r="E245">
        <v>2</v>
      </c>
      <c r="F245">
        <v>1.48</v>
      </c>
      <c r="G245">
        <v>2.5</v>
      </c>
      <c r="H245">
        <v>2.2999999999999998</v>
      </c>
      <c r="I245">
        <v>14.650000000000006</v>
      </c>
      <c r="J245">
        <v>3.9</v>
      </c>
      <c r="K245">
        <v>4.0999999999999996</v>
      </c>
      <c r="L245">
        <v>5.5</v>
      </c>
      <c r="M245" s="2">
        <v>6.6619999999999999E-2</v>
      </c>
      <c r="N245" s="4">
        <v>1.7859</v>
      </c>
      <c r="O245" s="4">
        <v>1.7459</v>
      </c>
      <c r="P245" s="2">
        <v>5.8</v>
      </c>
      <c r="Q245">
        <v>3.95</v>
      </c>
      <c r="R245" s="4">
        <v>1.7459</v>
      </c>
    </row>
    <row r="246" spans="1:18" x14ac:dyDescent="0.25">
      <c r="A246" s="1">
        <v>43586</v>
      </c>
      <c r="B246">
        <v>2.4</v>
      </c>
      <c r="C246">
        <v>2.2000000000000002</v>
      </c>
      <c r="D246">
        <v>2.1</v>
      </c>
      <c r="E246">
        <v>2.1</v>
      </c>
      <c r="F246">
        <v>1.38</v>
      </c>
      <c r="G246">
        <v>2.8</v>
      </c>
      <c r="H246">
        <v>4.2</v>
      </c>
      <c r="I246">
        <v>14.569999999999993</v>
      </c>
      <c r="J246">
        <v>4.9000000000000004</v>
      </c>
      <c r="K246">
        <v>5</v>
      </c>
      <c r="L246">
        <v>5.8</v>
      </c>
      <c r="M246" s="2">
        <v>6.8540000000000004E-2</v>
      </c>
      <c r="N246" s="4">
        <v>1.7788999999999999</v>
      </c>
      <c r="O246" s="4">
        <v>1.7450000000000001</v>
      </c>
      <c r="P246" s="2">
        <v>5.4</v>
      </c>
      <c r="Q246">
        <v>3.95</v>
      </c>
      <c r="R246" s="4">
        <v>1.7450000000000001</v>
      </c>
    </row>
    <row r="247" spans="1:18" x14ac:dyDescent="0.25">
      <c r="A247" s="1">
        <v>43617</v>
      </c>
      <c r="B247">
        <v>2</v>
      </c>
      <c r="C247">
        <v>2</v>
      </c>
      <c r="D247">
        <v>2</v>
      </c>
      <c r="E247">
        <v>2</v>
      </c>
      <c r="F247">
        <v>1.37</v>
      </c>
      <c r="G247">
        <v>3.8</v>
      </c>
      <c r="H247">
        <v>2.8</v>
      </c>
      <c r="I247">
        <v>15.870000000000005</v>
      </c>
      <c r="J247">
        <v>4.5999999999999996</v>
      </c>
      <c r="K247">
        <v>4.9000000000000004</v>
      </c>
      <c r="L247">
        <v>5.7</v>
      </c>
      <c r="M247" s="2">
        <v>5.4969999999999998E-2</v>
      </c>
      <c r="N247" s="4">
        <v>1.7808999999999999</v>
      </c>
      <c r="O247" s="4">
        <v>1.7428999999999999</v>
      </c>
      <c r="P247" s="2">
        <v>5.5</v>
      </c>
      <c r="Q247">
        <v>3.95</v>
      </c>
      <c r="R247" s="4">
        <v>1.7428999999999999</v>
      </c>
    </row>
    <row r="248" spans="1:18" x14ac:dyDescent="0.25">
      <c r="A248" s="1">
        <v>43647</v>
      </c>
      <c r="B248">
        <v>2</v>
      </c>
      <c r="C248">
        <v>2</v>
      </c>
      <c r="D248">
        <v>2</v>
      </c>
      <c r="E248">
        <v>2.1</v>
      </c>
      <c r="F248">
        <v>1.38</v>
      </c>
      <c r="G248">
        <v>4.5999999999999996</v>
      </c>
      <c r="H248">
        <v>3.7</v>
      </c>
      <c r="I248">
        <v>17.430000000000007</v>
      </c>
      <c r="J248">
        <v>5.7</v>
      </c>
      <c r="K248">
        <v>5.7</v>
      </c>
      <c r="L248">
        <v>6</v>
      </c>
      <c r="M248" s="2">
        <v>3.6889999999999999E-2</v>
      </c>
      <c r="N248" s="4">
        <v>1.7598</v>
      </c>
      <c r="O248" s="4">
        <v>1.7468999999999999</v>
      </c>
      <c r="P248" s="2">
        <v>5.8</v>
      </c>
      <c r="Q248">
        <v>3.95</v>
      </c>
      <c r="R248" s="4">
        <v>1.7468999999999999</v>
      </c>
    </row>
    <row r="249" spans="1:18" x14ac:dyDescent="0.25">
      <c r="A249" s="1">
        <v>43678</v>
      </c>
      <c r="B249">
        <v>1.9</v>
      </c>
      <c r="C249">
        <v>2</v>
      </c>
      <c r="D249">
        <v>2</v>
      </c>
      <c r="E249">
        <v>2</v>
      </c>
      <c r="F249">
        <v>1.22</v>
      </c>
      <c r="G249">
        <v>3.8</v>
      </c>
      <c r="H249">
        <v>2.5</v>
      </c>
      <c r="I249">
        <v>17.049999999999997</v>
      </c>
      <c r="J249">
        <v>6.2</v>
      </c>
      <c r="K249">
        <v>6.1</v>
      </c>
      <c r="L249">
        <v>6.1</v>
      </c>
      <c r="M249" s="2">
        <v>2.0299999999999999E-2</v>
      </c>
      <c r="N249" s="4">
        <v>1.7864</v>
      </c>
      <c r="O249" s="4">
        <v>1.7481</v>
      </c>
      <c r="P249" s="2">
        <v>5.8</v>
      </c>
      <c r="Q249">
        <v>3.95</v>
      </c>
      <c r="R249" s="4">
        <v>1.7481</v>
      </c>
    </row>
    <row r="250" spans="1:18" x14ac:dyDescent="0.25">
      <c r="A250" s="1">
        <v>43709</v>
      </c>
      <c r="B250">
        <v>1.9</v>
      </c>
      <c r="C250">
        <v>2</v>
      </c>
      <c r="D250">
        <v>2</v>
      </c>
      <c r="E250">
        <v>2.2000000000000002</v>
      </c>
      <c r="F250">
        <v>1.27</v>
      </c>
      <c r="G250">
        <v>4.4000000000000004</v>
      </c>
      <c r="H250">
        <v>2.5</v>
      </c>
      <c r="I250">
        <v>17.61</v>
      </c>
      <c r="J250">
        <v>6.8</v>
      </c>
      <c r="K250">
        <v>6.6</v>
      </c>
      <c r="L250">
        <v>6.3</v>
      </c>
      <c r="M250" s="2">
        <v>7.7099999999999998E-3</v>
      </c>
      <c r="N250" s="4">
        <v>1.7690999999999999</v>
      </c>
      <c r="O250" s="4">
        <v>1.7454000000000001</v>
      </c>
      <c r="P250" s="2">
        <v>5.6</v>
      </c>
      <c r="Q250">
        <v>3.95</v>
      </c>
      <c r="R250" s="4">
        <v>1.7454000000000001</v>
      </c>
    </row>
    <row r="251" spans="1:18" x14ac:dyDescent="0.25">
      <c r="A251" s="1">
        <v>43739</v>
      </c>
      <c r="B251">
        <v>1.9</v>
      </c>
      <c r="C251">
        <v>2</v>
      </c>
      <c r="D251">
        <v>2</v>
      </c>
      <c r="E251">
        <v>2.2000000000000002</v>
      </c>
      <c r="F251">
        <v>1.22</v>
      </c>
      <c r="G251">
        <v>4.5</v>
      </c>
      <c r="H251">
        <v>3.3</v>
      </c>
      <c r="I251">
        <v>17.78</v>
      </c>
      <c r="J251">
        <v>7.3</v>
      </c>
      <c r="K251">
        <v>6.7</v>
      </c>
      <c r="L251">
        <v>6.5</v>
      </c>
      <c r="M251" s="2">
        <v>-5.9000000000000003E-4</v>
      </c>
      <c r="N251" s="4">
        <v>1.7532000000000001</v>
      </c>
      <c r="O251" s="4">
        <v>1.7472000000000001</v>
      </c>
      <c r="P251" s="2">
        <v>5.7</v>
      </c>
      <c r="Q251">
        <v>3.95</v>
      </c>
      <c r="R251" s="4">
        <v>1.7472000000000001</v>
      </c>
    </row>
    <row r="252" spans="1:18" x14ac:dyDescent="0.25">
      <c r="A252" s="1">
        <v>43770</v>
      </c>
      <c r="B252">
        <v>2.2000000000000002</v>
      </c>
      <c r="C252">
        <v>2.2000000000000002</v>
      </c>
      <c r="D252">
        <v>2.1</v>
      </c>
      <c r="E252">
        <v>2.4</v>
      </c>
      <c r="F252">
        <v>1.27</v>
      </c>
      <c r="G252">
        <v>4.5999999999999996</v>
      </c>
      <c r="H252">
        <v>2.9</v>
      </c>
      <c r="I252">
        <v>17.170000000000002</v>
      </c>
      <c r="J252">
        <v>7.3</v>
      </c>
      <c r="K252">
        <v>6.6</v>
      </c>
      <c r="L252">
        <v>6.6</v>
      </c>
      <c r="M252" s="2">
        <v>-6.0099999999999997E-3</v>
      </c>
      <c r="N252" s="4">
        <v>1.7667999999999999</v>
      </c>
      <c r="O252" s="4">
        <v>1.7486999999999999</v>
      </c>
      <c r="P252" s="2">
        <v>6</v>
      </c>
      <c r="Q252">
        <v>3.95</v>
      </c>
      <c r="R252" s="4">
        <v>1.7486999999999999</v>
      </c>
    </row>
    <row r="253" spans="1:18" x14ac:dyDescent="0.25">
      <c r="A253" s="1">
        <v>43800</v>
      </c>
      <c r="B253">
        <v>2.2000000000000002</v>
      </c>
      <c r="C253">
        <v>2</v>
      </c>
      <c r="D253">
        <v>2</v>
      </c>
      <c r="E253">
        <v>2.2999999999999998</v>
      </c>
      <c r="F253">
        <v>1.35</v>
      </c>
      <c r="G253">
        <v>3.8</v>
      </c>
      <c r="H253">
        <v>2.8</v>
      </c>
      <c r="I253">
        <v>17.439999999999998</v>
      </c>
      <c r="J253">
        <v>7.7</v>
      </c>
      <c r="K253">
        <v>7</v>
      </c>
      <c r="L253">
        <v>6.6</v>
      </c>
      <c r="M253" s="2">
        <v>-1.091E-2</v>
      </c>
      <c r="N253" s="4">
        <v>1.7519</v>
      </c>
      <c r="O253" s="4">
        <v>1.7479</v>
      </c>
      <c r="P253" s="2">
        <v>5.8</v>
      </c>
      <c r="Q253">
        <v>3.95</v>
      </c>
      <c r="R253" s="4">
        <v>1.7479</v>
      </c>
    </row>
    <row r="254" spans="1:18" x14ac:dyDescent="0.25">
      <c r="A254" s="1">
        <v>43831</v>
      </c>
      <c r="B254">
        <v>2.4</v>
      </c>
      <c r="C254">
        <v>2.1</v>
      </c>
      <c r="D254">
        <v>2.1</v>
      </c>
      <c r="E254">
        <v>2.2000000000000002</v>
      </c>
      <c r="F254">
        <v>1.3</v>
      </c>
      <c r="G254">
        <v>4.4000000000000004</v>
      </c>
      <c r="H254">
        <v>2.2999999999999998</v>
      </c>
      <c r="I254">
        <v>17.86</v>
      </c>
      <c r="J254">
        <v>8.3000000000000007</v>
      </c>
      <c r="K254">
        <v>7.8</v>
      </c>
      <c r="L254">
        <v>6.7</v>
      </c>
      <c r="M254" s="2">
        <v>-1.814E-2</v>
      </c>
      <c r="N254" s="4">
        <v>1.7745</v>
      </c>
      <c r="O254" s="4">
        <v>1.7486999999999999</v>
      </c>
      <c r="P254" s="2">
        <v>5.6</v>
      </c>
      <c r="Q254">
        <v>3.95</v>
      </c>
      <c r="R254" s="4">
        <v>1.7486999999999999</v>
      </c>
    </row>
    <row r="255" spans="1:18" x14ac:dyDescent="0.25">
      <c r="A255" s="1">
        <v>43862</v>
      </c>
      <c r="B255">
        <v>2.2000000000000002</v>
      </c>
      <c r="C255">
        <v>2</v>
      </c>
      <c r="D255">
        <v>2</v>
      </c>
      <c r="E255">
        <v>1.9</v>
      </c>
      <c r="F255">
        <v>1.27</v>
      </c>
      <c r="G255">
        <v>4.2</v>
      </c>
      <c r="H255">
        <v>2.8</v>
      </c>
      <c r="I255">
        <v>16.930000000000007</v>
      </c>
      <c r="J255">
        <v>10.8</v>
      </c>
      <c r="K255">
        <v>9</v>
      </c>
      <c r="L255">
        <v>7</v>
      </c>
      <c r="M255" s="2">
        <v>-2.9780000000000001E-2</v>
      </c>
      <c r="N255" s="4">
        <v>1.7605999999999999</v>
      </c>
      <c r="O255" s="4">
        <v>1.7484999999999999</v>
      </c>
      <c r="P255" s="2">
        <v>5.7</v>
      </c>
      <c r="Q255">
        <v>3.95</v>
      </c>
      <c r="R255" s="4">
        <v>1.7484999999999999</v>
      </c>
    </row>
    <row r="256" spans="1:18" x14ac:dyDescent="0.25">
      <c r="A256" s="1">
        <v>43891</v>
      </c>
      <c r="B256">
        <v>0.9</v>
      </c>
      <c r="C256">
        <v>1.8</v>
      </c>
      <c r="D256">
        <v>1.9</v>
      </c>
      <c r="E256">
        <v>1.5</v>
      </c>
      <c r="F256">
        <v>0.79</v>
      </c>
      <c r="G256">
        <v>6.4</v>
      </c>
      <c r="H256">
        <v>4.3</v>
      </c>
      <c r="I256">
        <v>13.319999999999993</v>
      </c>
      <c r="J256">
        <v>14.7</v>
      </c>
      <c r="K256">
        <v>12</v>
      </c>
      <c r="L256">
        <v>7.7</v>
      </c>
      <c r="M256" s="2">
        <v>-6.9176500000000001</v>
      </c>
      <c r="N256" s="4">
        <v>1.7494000000000001</v>
      </c>
      <c r="O256" s="4">
        <v>0.74060000000000004</v>
      </c>
      <c r="P256" s="2">
        <v>7.9</v>
      </c>
      <c r="Q256">
        <v>2.4500000000000002</v>
      </c>
      <c r="R256" s="4">
        <v>0.74060000000000004</v>
      </c>
    </row>
    <row r="257" spans="1:18" x14ac:dyDescent="0.25">
      <c r="A257" s="1">
        <v>43922</v>
      </c>
      <c r="B257">
        <v>-0.2</v>
      </c>
      <c r="C257">
        <v>1.9</v>
      </c>
      <c r="D257">
        <v>2</v>
      </c>
      <c r="E257">
        <v>1.3</v>
      </c>
      <c r="F257">
        <v>0.92</v>
      </c>
      <c r="G257">
        <v>10.9</v>
      </c>
      <c r="H257">
        <v>6.7</v>
      </c>
      <c r="I257">
        <v>13.870000000000005</v>
      </c>
      <c r="J257">
        <v>18.7</v>
      </c>
      <c r="K257">
        <v>15.8</v>
      </c>
      <c r="L257">
        <v>9.1</v>
      </c>
      <c r="M257" s="2">
        <v>-4.0246700000000004</v>
      </c>
      <c r="N257" s="4">
        <v>0.2001</v>
      </c>
      <c r="O257" s="4">
        <v>0.2341</v>
      </c>
      <c r="P257" s="2">
        <v>13</v>
      </c>
      <c r="Q257">
        <v>2.4500000000000002</v>
      </c>
      <c r="R257" s="4">
        <v>0.2341</v>
      </c>
    </row>
    <row r="258" spans="1:18" x14ac:dyDescent="0.25">
      <c r="A258" s="1">
        <v>43952</v>
      </c>
      <c r="B258">
        <v>-0.4</v>
      </c>
      <c r="C258">
        <v>1.6</v>
      </c>
      <c r="D258">
        <v>1.8</v>
      </c>
      <c r="E258">
        <v>1.1000000000000001</v>
      </c>
      <c r="F258">
        <v>0.94</v>
      </c>
      <c r="G258">
        <v>10.4</v>
      </c>
      <c r="H258">
        <v>5.5</v>
      </c>
      <c r="I258">
        <v>14.329999999999998</v>
      </c>
      <c r="J258">
        <v>21.4</v>
      </c>
      <c r="K258">
        <v>18.100000000000001</v>
      </c>
      <c r="L258">
        <v>10.3</v>
      </c>
      <c r="M258" s="2">
        <v>-2.1323799999999999</v>
      </c>
      <c r="N258" s="4">
        <v>0.1961</v>
      </c>
      <c r="O258" s="4">
        <v>0.2379</v>
      </c>
      <c r="P258" s="2">
        <v>13.4</v>
      </c>
      <c r="Q258">
        <v>2.4500000000000002</v>
      </c>
      <c r="R258" s="4">
        <v>0.2379</v>
      </c>
    </row>
    <row r="259" spans="1:18" x14ac:dyDescent="0.25">
      <c r="A259" s="1">
        <v>43983</v>
      </c>
      <c r="B259">
        <v>0.7</v>
      </c>
      <c r="C259">
        <v>1.8</v>
      </c>
      <c r="D259">
        <v>1.9</v>
      </c>
      <c r="E259">
        <v>1.2</v>
      </c>
      <c r="F259">
        <v>1.0900000000000001</v>
      </c>
      <c r="G259">
        <v>7.2</v>
      </c>
      <c r="H259">
        <v>5.4</v>
      </c>
      <c r="I259">
        <v>16.379999999999995</v>
      </c>
      <c r="J259">
        <v>24.3</v>
      </c>
      <c r="K259">
        <v>20.399999999999999</v>
      </c>
      <c r="L259">
        <v>11.4</v>
      </c>
      <c r="M259" s="2">
        <v>2.66818</v>
      </c>
      <c r="N259" s="4">
        <v>0.22539999999999999</v>
      </c>
      <c r="O259" s="4">
        <v>0.23269999999999999</v>
      </c>
      <c r="P259" s="2">
        <v>12.2</v>
      </c>
      <c r="Q259">
        <v>2.4500000000000002</v>
      </c>
      <c r="R259" s="4">
        <v>0.23269999999999999</v>
      </c>
    </row>
    <row r="260" spans="1:18" x14ac:dyDescent="0.25">
      <c r="A260" s="1">
        <v>44013</v>
      </c>
      <c r="B260">
        <v>0.1</v>
      </c>
      <c r="C260">
        <v>1.7</v>
      </c>
      <c r="D260">
        <v>1.8</v>
      </c>
      <c r="E260">
        <v>1</v>
      </c>
      <c r="F260">
        <v>1.1599999999999999</v>
      </c>
      <c r="G260">
        <v>6.3</v>
      </c>
      <c r="H260">
        <v>5.2</v>
      </c>
      <c r="I260">
        <v>16.230000000000004</v>
      </c>
      <c r="J260">
        <v>25.5</v>
      </c>
      <c r="K260">
        <v>21.8</v>
      </c>
      <c r="L260">
        <v>12</v>
      </c>
      <c r="M260" s="2">
        <v>2.5937600000000001</v>
      </c>
      <c r="N260" s="4">
        <v>0.25</v>
      </c>
      <c r="O260" s="4">
        <v>0.2407</v>
      </c>
      <c r="P260" s="2">
        <v>10.9</v>
      </c>
      <c r="Q260">
        <v>2.4500000000000002</v>
      </c>
      <c r="R260" s="4">
        <v>0.2407</v>
      </c>
    </row>
    <row r="261" spans="1:18" x14ac:dyDescent="0.25">
      <c r="A261" s="1">
        <v>44044</v>
      </c>
      <c r="B261">
        <v>0.1</v>
      </c>
      <c r="C261">
        <v>1.7</v>
      </c>
      <c r="D261">
        <v>1.8</v>
      </c>
      <c r="E261">
        <v>1.2</v>
      </c>
      <c r="F261">
        <v>1.31</v>
      </c>
      <c r="G261">
        <v>6.4</v>
      </c>
      <c r="H261">
        <v>5.2</v>
      </c>
      <c r="I261">
        <v>17.72</v>
      </c>
      <c r="J261">
        <v>27.2</v>
      </c>
      <c r="K261">
        <v>23.3</v>
      </c>
      <c r="L261">
        <v>12.6</v>
      </c>
      <c r="M261" s="2">
        <v>2.5223499999999999</v>
      </c>
      <c r="N261" s="4">
        <v>0.23</v>
      </c>
      <c r="O261" s="4">
        <v>0.23369999999999999</v>
      </c>
      <c r="P261" s="2">
        <v>10.3</v>
      </c>
      <c r="Q261">
        <v>2.4500000000000002</v>
      </c>
      <c r="R261" s="4">
        <v>0.23369999999999999</v>
      </c>
    </row>
    <row r="262" spans="1:18" x14ac:dyDescent="0.25">
      <c r="A262" s="1">
        <v>44075</v>
      </c>
      <c r="B262">
        <v>0.5</v>
      </c>
      <c r="C262">
        <v>1.7</v>
      </c>
      <c r="D262">
        <v>2</v>
      </c>
      <c r="E262">
        <v>1.2</v>
      </c>
      <c r="F262">
        <v>1.32</v>
      </c>
      <c r="G262">
        <v>5.5</v>
      </c>
      <c r="H262">
        <v>4.5999999999999996</v>
      </c>
      <c r="I262">
        <v>17.180000000000007</v>
      </c>
      <c r="J262">
        <v>28.3</v>
      </c>
      <c r="K262">
        <v>24</v>
      </c>
      <c r="L262">
        <v>12.8</v>
      </c>
      <c r="M262" s="2">
        <v>0.58911999999999998</v>
      </c>
      <c r="N262" s="4">
        <v>0.24</v>
      </c>
      <c r="O262" s="4">
        <v>0.21809999999999999</v>
      </c>
      <c r="P262" s="2">
        <v>9.1999999999999993</v>
      </c>
      <c r="Q262">
        <v>2.4500000000000002</v>
      </c>
      <c r="R262" s="4">
        <v>0.21809999999999999</v>
      </c>
    </row>
    <row r="263" spans="1:18" x14ac:dyDescent="0.25">
      <c r="A263" s="1">
        <v>44105</v>
      </c>
      <c r="B263">
        <v>0.7</v>
      </c>
      <c r="C263">
        <v>1.8</v>
      </c>
      <c r="D263">
        <v>2</v>
      </c>
      <c r="E263">
        <v>1.5</v>
      </c>
      <c r="F263">
        <v>1.45</v>
      </c>
      <c r="G263">
        <v>5.4</v>
      </c>
      <c r="H263">
        <v>3.8</v>
      </c>
      <c r="I263">
        <v>16.959999999999994</v>
      </c>
      <c r="J263">
        <v>29.6</v>
      </c>
      <c r="K263">
        <v>25.8</v>
      </c>
      <c r="L263">
        <v>13.2</v>
      </c>
      <c r="M263" s="2">
        <v>0.58367000000000002</v>
      </c>
      <c r="N263" s="4">
        <v>0.22</v>
      </c>
      <c r="O263" s="4">
        <v>0.23369999999999999</v>
      </c>
      <c r="P263" s="2">
        <v>9.1999999999999993</v>
      </c>
      <c r="Q263">
        <v>2.4500000000000002</v>
      </c>
      <c r="R263" s="4">
        <v>0.23369999999999999</v>
      </c>
    </row>
    <row r="264" spans="1:18" x14ac:dyDescent="0.25">
      <c r="A264" s="1">
        <v>44136</v>
      </c>
      <c r="B264">
        <v>1</v>
      </c>
      <c r="C264">
        <v>1.8</v>
      </c>
      <c r="D264">
        <v>2</v>
      </c>
      <c r="E264">
        <v>1.5</v>
      </c>
      <c r="F264">
        <v>1.52</v>
      </c>
      <c r="G264">
        <v>4.9000000000000004</v>
      </c>
      <c r="H264">
        <v>4.5</v>
      </c>
      <c r="I264">
        <v>17.159999999999997</v>
      </c>
      <c r="J264">
        <v>30.1</v>
      </c>
      <c r="K264">
        <v>26.5</v>
      </c>
      <c r="L264">
        <v>13.4</v>
      </c>
      <c r="M264" s="2">
        <v>0.57872000000000001</v>
      </c>
      <c r="N264" s="4">
        <v>0.2</v>
      </c>
      <c r="O264" s="4">
        <v>0.2336</v>
      </c>
      <c r="P264" s="2">
        <v>8.6999999999999993</v>
      </c>
      <c r="Q264">
        <v>2.4500000000000002</v>
      </c>
      <c r="R264" s="4">
        <v>0.2336</v>
      </c>
    </row>
    <row r="265" spans="1:18" x14ac:dyDescent="0.25">
      <c r="A265" s="1">
        <v>44166</v>
      </c>
      <c r="B265">
        <v>0.7</v>
      </c>
      <c r="C265">
        <v>1.8</v>
      </c>
      <c r="D265">
        <v>2</v>
      </c>
      <c r="E265">
        <v>1.4</v>
      </c>
      <c r="F265">
        <v>1.51</v>
      </c>
      <c r="G265">
        <v>5.5</v>
      </c>
      <c r="H265">
        <v>4.0999999999999996</v>
      </c>
      <c r="I265">
        <v>18.310000000000002</v>
      </c>
      <c r="J265">
        <v>28.9</v>
      </c>
      <c r="K265">
        <v>25.9</v>
      </c>
      <c r="L265">
        <v>13.6</v>
      </c>
      <c r="M265" s="2">
        <v>0.24940000000000001</v>
      </c>
      <c r="N265" s="4">
        <v>0.21</v>
      </c>
      <c r="O265" s="4">
        <v>0.1741</v>
      </c>
      <c r="P265" s="2">
        <v>8.9</v>
      </c>
      <c r="Q265">
        <v>2.4500000000000002</v>
      </c>
      <c r="R265" s="4">
        <v>0.1741</v>
      </c>
    </row>
    <row r="266" spans="1:18" x14ac:dyDescent="0.25">
      <c r="A266" s="1">
        <v>44197</v>
      </c>
      <c r="B266">
        <v>1</v>
      </c>
      <c r="C266">
        <v>1.8</v>
      </c>
      <c r="D266">
        <v>2.1</v>
      </c>
      <c r="E266">
        <v>1.4</v>
      </c>
      <c r="F266">
        <v>1.57</v>
      </c>
      <c r="G266">
        <v>6.2</v>
      </c>
      <c r="H266">
        <v>5.8</v>
      </c>
      <c r="I266">
        <v>18.879999999999995</v>
      </c>
      <c r="J266">
        <v>30.1</v>
      </c>
      <c r="K266">
        <v>26.7</v>
      </c>
      <c r="L266">
        <v>13.8</v>
      </c>
      <c r="M266" s="2">
        <v>0.24873999999999999</v>
      </c>
      <c r="N266" s="4">
        <v>0.2</v>
      </c>
      <c r="O266" s="4">
        <v>0.18260000000000001</v>
      </c>
      <c r="P266" s="2">
        <v>9.4</v>
      </c>
      <c r="Q266">
        <v>2.4500000000000002</v>
      </c>
      <c r="R266" s="4">
        <v>0.18260000000000001</v>
      </c>
    </row>
    <row r="267" spans="1:18" x14ac:dyDescent="0.25">
      <c r="A267" s="1">
        <v>44228</v>
      </c>
      <c r="B267">
        <v>1.1000000000000001</v>
      </c>
      <c r="C267">
        <v>1.9</v>
      </c>
      <c r="D267">
        <v>2.1</v>
      </c>
      <c r="E267">
        <v>1.5</v>
      </c>
      <c r="F267">
        <v>1.68</v>
      </c>
      <c r="G267">
        <v>4.8</v>
      </c>
      <c r="H267">
        <v>5.5</v>
      </c>
      <c r="I267">
        <v>19.489999999999995</v>
      </c>
      <c r="J267">
        <v>30.1</v>
      </c>
      <c r="K267">
        <v>27.1</v>
      </c>
      <c r="L267">
        <v>14.3</v>
      </c>
      <c r="M267" s="2">
        <v>0.24857000000000001</v>
      </c>
      <c r="N267" s="4">
        <v>0.19</v>
      </c>
      <c r="O267" s="4">
        <v>0.21429999999999999</v>
      </c>
      <c r="P267" s="2">
        <v>8.3000000000000007</v>
      </c>
      <c r="Q267">
        <v>2.4500000000000002</v>
      </c>
      <c r="R267" s="4">
        <v>0.21429999999999999</v>
      </c>
    </row>
    <row r="268" spans="1:18" x14ac:dyDescent="0.25">
      <c r="A268" s="1">
        <v>44256</v>
      </c>
      <c r="B268">
        <v>2.2000000000000002</v>
      </c>
      <c r="C268">
        <v>2</v>
      </c>
      <c r="D268">
        <v>2.2000000000000002</v>
      </c>
      <c r="E268">
        <v>2.1</v>
      </c>
      <c r="F268">
        <v>1.75</v>
      </c>
      <c r="G268">
        <v>2.1</v>
      </c>
      <c r="H268">
        <v>3.1</v>
      </c>
      <c r="I268">
        <v>21.72</v>
      </c>
      <c r="J268">
        <v>26.8</v>
      </c>
      <c r="K268">
        <v>24.4</v>
      </c>
      <c r="L268">
        <v>13.7</v>
      </c>
      <c r="M268" s="2">
        <v>-0.32961000000000001</v>
      </c>
      <c r="N268" s="4">
        <v>0.18</v>
      </c>
      <c r="O268" s="4">
        <v>0.15290000000000001</v>
      </c>
      <c r="P268" s="2">
        <v>7.5</v>
      </c>
      <c r="Q268">
        <v>2.4500000000000002</v>
      </c>
      <c r="R268" s="4">
        <v>0.15290000000000001</v>
      </c>
    </row>
    <row r="269" spans="1:18" x14ac:dyDescent="0.25">
      <c r="A269" s="1">
        <v>44287</v>
      </c>
      <c r="B269">
        <v>3.4</v>
      </c>
      <c r="C269">
        <v>2.2999999999999998</v>
      </c>
      <c r="D269">
        <v>2.2000000000000002</v>
      </c>
      <c r="E269">
        <v>2.4</v>
      </c>
      <c r="F269">
        <v>1.69</v>
      </c>
      <c r="G269">
        <v>-1.8</v>
      </c>
      <c r="H269">
        <v>0.3</v>
      </c>
      <c r="I269">
        <v>22.040000000000006</v>
      </c>
      <c r="J269">
        <v>24.1</v>
      </c>
      <c r="K269">
        <v>21.6</v>
      </c>
      <c r="L269">
        <v>12.7</v>
      </c>
      <c r="M269" s="2">
        <v>-0.32782</v>
      </c>
      <c r="N269" s="4">
        <v>0.17</v>
      </c>
      <c r="O269" s="4">
        <v>0.16689999999999999</v>
      </c>
      <c r="P269" s="2">
        <v>8</v>
      </c>
      <c r="Q269">
        <v>2.4500000000000002</v>
      </c>
      <c r="R269" s="4">
        <v>0.16689999999999999</v>
      </c>
    </row>
    <row r="270" spans="1:18" x14ac:dyDescent="0.25">
      <c r="A270" s="1">
        <v>44317</v>
      </c>
      <c r="B270">
        <v>3.6</v>
      </c>
      <c r="C270">
        <v>2.6</v>
      </c>
      <c r="D270">
        <v>2.5</v>
      </c>
      <c r="E270">
        <v>2.8</v>
      </c>
      <c r="F270">
        <v>1.83</v>
      </c>
      <c r="G270">
        <v>-1.6</v>
      </c>
      <c r="H270">
        <v>0.7</v>
      </c>
      <c r="I270">
        <v>25.010000000000005</v>
      </c>
      <c r="J270">
        <v>22.7</v>
      </c>
      <c r="K270">
        <v>20.100000000000001</v>
      </c>
      <c r="L270">
        <v>12</v>
      </c>
      <c r="M270" s="2">
        <v>-0.32514999999999999</v>
      </c>
      <c r="N270" s="4">
        <v>0.18</v>
      </c>
      <c r="O270" s="4">
        <v>0.18720000000000001</v>
      </c>
      <c r="P270" s="2">
        <v>8</v>
      </c>
      <c r="Q270">
        <v>2.4500000000000002</v>
      </c>
      <c r="R270" s="4">
        <v>0.18720000000000001</v>
      </c>
    </row>
    <row r="271" spans="1:18" x14ac:dyDescent="0.25">
      <c r="A271" s="1">
        <v>44348</v>
      </c>
      <c r="B271">
        <v>3.1</v>
      </c>
      <c r="C271">
        <v>2.6</v>
      </c>
      <c r="D271">
        <v>2.6</v>
      </c>
      <c r="E271">
        <v>2.8</v>
      </c>
      <c r="F271">
        <v>1.73</v>
      </c>
      <c r="G271">
        <v>-0.1</v>
      </c>
      <c r="H271">
        <v>1.1000000000000001</v>
      </c>
      <c r="I271">
        <v>24.209999999999994</v>
      </c>
      <c r="J271">
        <v>20.6</v>
      </c>
      <c r="K271">
        <v>18.5</v>
      </c>
      <c r="L271">
        <v>11.4</v>
      </c>
      <c r="M271" s="2">
        <v>0.32852999999999999</v>
      </c>
      <c r="N271" s="4">
        <v>0.2</v>
      </c>
      <c r="O271" s="4">
        <v>0.18729999999999999</v>
      </c>
      <c r="P271" s="2">
        <v>7.6</v>
      </c>
      <c r="Q271">
        <v>2.4500000000000002</v>
      </c>
      <c r="R271" s="4">
        <v>0.18729999999999999</v>
      </c>
    </row>
    <row r="272" spans="1:18" x14ac:dyDescent="0.25">
      <c r="A272" s="1">
        <v>44378</v>
      </c>
      <c r="B272">
        <v>3.7</v>
      </c>
      <c r="C272">
        <v>3</v>
      </c>
      <c r="D272">
        <v>2.7</v>
      </c>
      <c r="E272">
        <v>3</v>
      </c>
      <c r="F272">
        <v>1.71</v>
      </c>
      <c r="G272">
        <v>0.5</v>
      </c>
      <c r="H272">
        <v>1.4</v>
      </c>
      <c r="I272">
        <v>21.92</v>
      </c>
      <c r="J272">
        <v>19.899999999999999</v>
      </c>
      <c r="K272">
        <v>18.100000000000001</v>
      </c>
      <c r="L272">
        <v>11.3</v>
      </c>
      <c r="M272" s="2">
        <v>0.33140999999999998</v>
      </c>
      <c r="N272" s="4">
        <v>0.16</v>
      </c>
      <c r="O272" s="4">
        <v>0.193</v>
      </c>
      <c r="P272" s="2">
        <v>7.4</v>
      </c>
      <c r="Q272">
        <v>2.4500000000000002</v>
      </c>
      <c r="R272" s="4">
        <v>0.193</v>
      </c>
    </row>
    <row r="273" spans="1:18" x14ac:dyDescent="0.25">
      <c r="A273" s="1">
        <v>44409</v>
      </c>
      <c r="B273">
        <v>4.0999999999999996</v>
      </c>
      <c r="C273">
        <v>3.2</v>
      </c>
      <c r="D273">
        <v>2.9</v>
      </c>
      <c r="E273">
        <v>3.3</v>
      </c>
      <c r="F273">
        <v>1.67</v>
      </c>
      <c r="G273">
        <v>1.3</v>
      </c>
      <c r="H273">
        <v>2.4</v>
      </c>
      <c r="I273">
        <v>21.47</v>
      </c>
      <c r="J273">
        <v>18.5</v>
      </c>
      <c r="K273">
        <v>17</v>
      </c>
      <c r="L273">
        <v>10.9</v>
      </c>
      <c r="M273" s="2">
        <v>0.33362000000000003</v>
      </c>
      <c r="N273" s="4">
        <v>0.18</v>
      </c>
      <c r="O273" s="4">
        <v>0.2026</v>
      </c>
      <c r="P273" s="2">
        <v>7.1</v>
      </c>
      <c r="Q273">
        <v>2.4500000000000002</v>
      </c>
      <c r="R273" s="4">
        <v>0.2026</v>
      </c>
    </row>
    <row r="274" spans="1:18" x14ac:dyDescent="0.25">
      <c r="A274" s="1">
        <v>44440</v>
      </c>
      <c r="B274">
        <v>4.4000000000000004</v>
      </c>
      <c r="C274">
        <v>3.4</v>
      </c>
      <c r="D274">
        <v>3</v>
      </c>
      <c r="E274">
        <v>3.5</v>
      </c>
      <c r="F274">
        <v>1.73</v>
      </c>
      <c r="G274">
        <v>1.7</v>
      </c>
      <c r="H274">
        <v>2.6</v>
      </c>
      <c r="I274">
        <v>20.75</v>
      </c>
      <c r="J274">
        <v>16.600000000000001</v>
      </c>
      <c r="K274">
        <v>15.4</v>
      </c>
      <c r="L274">
        <v>10.5</v>
      </c>
      <c r="M274" s="2">
        <v>0.42931000000000002</v>
      </c>
      <c r="N274" s="4">
        <v>0.18</v>
      </c>
      <c r="O274" s="4">
        <v>0.18240000000000001</v>
      </c>
      <c r="P274" s="2">
        <v>7</v>
      </c>
      <c r="Q274">
        <v>2.4500000000000002</v>
      </c>
      <c r="R274" s="4">
        <v>0.18240000000000001</v>
      </c>
    </row>
    <row r="275" spans="1:18" x14ac:dyDescent="0.25">
      <c r="A275" s="1">
        <v>44470</v>
      </c>
      <c r="B275">
        <v>4.7</v>
      </c>
      <c r="C275">
        <v>3.4</v>
      </c>
      <c r="D275">
        <v>2.9</v>
      </c>
      <c r="E275">
        <v>3.4</v>
      </c>
      <c r="F275">
        <v>1.83</v>
      </c>
      <c r="G275">
        <v>2</v>
      </c>
      <c r="H275">
        <v>2.5</v>
      </c>
      <c r="I275">
        <v>23.64</v>
      </c>
      <c r="J275">
        <v>15.1</v>
      </c>
      <c r="K275">
        <v>13.6</v>
      </c>
      <c r="L275">
        <v>9.9</v>
      </c>
      <c r="M275" s="2">
        <v>0.42159000000000002</v>
      </c>
      <c r="N275" s="4">
        <v>0.17</v>
      </c>
      <c r="O275" s="4">
        <v>0.20250000000000001</v>
      </c>
      <c r="P275" s="2">
        <v>6.8</v>
      </c>
      <c r="Q275">
        <v>2.4500000000000002</v>
      </c>
      <c r="R275" s="4">
        <v>0.20250000000000001</v>
      </c>
    </row>
    <row r="276" spans="1:18" x14ac:dyDescent="0.25">
      <c r="A276" s="1">
        <v>44501</v>
      </c>
      <c r="B276">
        <v>4.7</v>
      </c>
      <c r="C276">
        <v>3.4</v>
      </c>
      <c r="D276">
        <v>3</v>
      </c>
      <c r="E276">
        <v>3.6</v>
      </c>
      <c r="F276">
        <v>1.92</v>
      </c>
      <c r="G276">
        <v>2.7</v>
      </c>
      <c r="H276">
        <v>2.2000000000000002</v>
      </c>
      <c r="I276">
        <v>22.879999999999995</v>
      </c>
      <c r="J276">
        <v>15</v>
      </c>
      <c r="K276">
        <v>13.3</v>
      </c>
      <c r="L276">
        <v>9.9</v>
      </c>
      <c r="M276" s="2">
        <v>0.40262999999999999</v>
      </c>
      <c r="N276" s="4">
        <v>0.19</v>
      </c>
      <c r="O276" s="4">
        <v>0.20780000000000001</v>
      </c>
      <c r="P276" s="2">
        <v>6.1</v>
      </c>
      <c r="Q276">
        <v>2.4500000000000002</v>
      </c>
      <c r="R276" s="4">
        <v>0.20780000000000001</v>
      </c>
    </row>
    <row r="277" spans="1:18" x14ac:dyDescent="0.25">
      <c r="A277" s="1">
        <v>44531</v>
      </c>
      <c r="B277">
        <v>4.8</v>
      </c>
      <c r="C277">
        <v>3.8</v>
      </c>
      <c r="D277">
        <v>3.2</v>
      </c>
      <c r="E277">
        <v>3.6</v>
      </c>
      <c r="F277">
        <v>1.8</v>
      </c>
      <c r="G277">
        <v>2.7</v>
      </c>
      <c r="H277">
        <v>2</v>
      </c>
      <c r="I277">
        <v>20.980000000000004</v>
      </c>
      <c r="J277">
        <v>14.2</v>
      </c>
      <c r="K277">
        <v>12.8</v>
      </c>
      <c r="L277">
        <v>10.3</v>
      </c>
      <c r="M277" s="2">
        <v>0.11576</v>
      </c>
      <c r="N277" s="4">
        <v>0.13</v>
      </c>
      <c r="O277" s="4">
        <v>0.12740000000000001</v>
      </c>
      <c r="P277" s="2">
        <v>6</v>
      </c>
      <c r="Q277">
        <v>2.4500000000000002</v>
      </c>
      <c r="R277" s="4">
        <v>0.12740000000000001</v>
      </c>
    </row>
    <row r="278" spans="1:18" x14ac:dyDescent="0.25">
      <c r="A278" s="1">
        <v>44562</v>
      </c>
      <c r="B278">
        <v>5.0999999999999996</v>
      </c>
      <c r="C278">
        <v>4</v>
      </c>
      <c r="D278">
        <v>3.4</v>
      </c>
      <c r="E278">
        <v>4.0999999999999996</v>
      </c>
      <c r="F278">
        <v>1.74</v>
      </c>
      <c r="G278">
        <v>2.4</v>
      </c>
      <c r="H278">
        <v>2.2000000000000002</v>
      </c>
      <c r="I278">
        <v>22.340000000000003</v>
      </c>
      <c r="J278">
        <v>13.9</v>
      </c>
      <c r="K278">
        <v>11.9</v>
      </c>
      <c r="L278">
        <v>10</v>
      </c>
      <c r="M278" s="2">
        <v>0.13746</v>
      </c>
      <c r="N278" s="4">
        <v>0.12</v>
      </c>
      <c r="O278" s="4">
        <v>0.18110000000000001</v>
      </c>
      <c r="P278" s="2">
        <v>6.5</v>
      </c>
      <c r="Q278">
        <v>2.4500000000000002</v>
      </c>
      <c r="R278" s="4">
        <v>0.18110000000000001</v>
      </c>
    </row>
    <row r="279" spans="1:18" x14ac:dyDescent="0.25">
      <c r="A279" s="1">
        <v>44593</v>
      </c>
      <c r="B279">
        <v>5.7</v>
      </c>
      <c r="C279">
        <v>4.3</v>
      </c>
      <c r="D279">
        <v>3.6</v>
      </c>
      <c r="E279">
        <v>4.5999999999999996</v>
      </c>
      <c r="F279">
        <v>1.67</v>
      </c>
      <c r="G279">
        <v>3.1</v>
      </c>
      <c r="H279">
        <v>2.4</v>
      </c>
      <c r="I279">
        <v>21.180000000000007</v>
      </c>
      <c r="J279">
        <v>12.7</v>
      </c>
      <c r="K279">
        <v>10.8</v>
      </c>
      <c r="L279">
        <v>9.6</v>
      </c>
      <c r="M279" s="2">
        <v>0.14843999999999999</v>
      </c>
      <c r="N279" s="4">
        <v>0.13</v>
      </c>
      <c r="O279" s="4">
        <v>0.17</v>
      </c>
      <c r="P279" s="2">
        <v>5.5</v>
      </c>
      <c r="Q279">
        <v>2.4500000000000002</v>
      </c>
      <c r="R279" s="4">
        <v>0.1754</v>
      </c>
    </row>
    <row r="280" spans="1:18" x14ac:dyDescent="0.25">
      <c r="A280" s="1">
        <v>44621</v>
      </c>
      <c r="B280">
        <v>6.7</v>
      </c>
      <c r="C280">
        <v>4.7</v>
      </c>
      <c r="D280">
        <v>4</v>
      </c>
      <c r="E280">
        <v>5.0999999999999996</v>
      </c>
      <c r="F280">
        <v>1.83</v>
      </c>
      <c r="G280">
        <v>3.4</v>
      </c>
      <c r="H280">
        <v>4.8</v>
      </c>
      <c r="I280">
        <v>22.42</v>
      </c>
      <c r="J280">
        <v>11.2</v>
      </c>
      <c r="K280">
        <v>9.5</v>
      </c>
      <c r="L280">
        <v>9.1999999999999993</v>
      </c>
      <c r="M280" s="2">
        <v>0.1489</v>
      </c>
      <c r="N280" s="4">
        <v>0.18</v>
      </c>
      <c r="O280" s="4">
        <v>0.41</v>
      </c>
      <c r="P280" s="2">
        <v>5.3</v>
      </c>
      <c r="Q280">
        <v>2.7</v>
      </c>
      <c r="R280" s="4">
        <v>0.44030000000000002</v>
      </c>
    </row>
    <row r="281" spans="1:18" x14ac:dyDescent="0.25">
      <c r="A281" s="1">
        <v>44652</v>
      </c>
      <c r="B281">
        <v>6.8</v>
      </c>
      <c r="C281">
        <v>5</v>
      </c>
      <c r="D281">
        <v>4.4000000000000004</v>
      </c>
      <c r="E281">
        <v>5.5</v>
      </c>
      <c r="F281">
        <v>1.88</v>
      </c>
      <c r="G281">
        <v>3.3</v>
      </c>
      <c r="H281">
        <v>4.8</v>
      </c>
      <c r="I281">
        <v>23.400000000000006</v>
      </c>
      <c r="J281">
        <v>8.6999999999999993</v>
      </c>
      <c r="K281">
        <v>7.5</v>
      </c>
      <c r="L281">
        <v>8.1</v>
      </c>
      <c r="M281" s="2">
        <v>0.13947000000000001</v>
      </c>
      <c r="N281" s="4">
        <v>0.42</v>
      </c>
      <c r="O281" s="4">
        <v>0.71</v>
      </c>
      <c r="P281" s="2">
        <v>5.2</v>
      </c>
      <c r="Q281">
        <v>3.2</v>
      </c>
      <c r="R281" s="4">
        <v>0.92079999999999995</v>
      </c>
    </row>
    <row r="282" spans="1:18" x14ac:dyDescent="0.25">
      <c r="A282" s="1">
        <v>44682</v>
      </c>
      <c r="B282">
        <v>7.7</v>
      </c>
      <c r="C282">
        <v>5.4</v>
      </c>
      <c r="D282">
        <v>4.7</v>
      </c>
      <c r="E282">
        <v>6.1</v>
      </c>
      <c r="F282">
        <v>1.71</v>
      </c>
      <c r="G282">
        <v>3.9</v>
      </c>
      <c r="H282">
        <v>3.7</v>
      </c>
      <c r="I282">
        <v>22.930000000000007</v>
      </c>
      <c r="J282">
        <v>6.7</v>
      </c>
      <c r="K282">
        <v>5.6</v>
      </c>
      <c r="L282">
        <v>7.3</v>
      </c>
      <c r="M282" s="2">
        <v>0.12213</v>
      </c>
      <c r="N282" s="4">
        <v>0.93</v>
      </c>
      <c r="O282" s="4">
        <v>0.9486</v>
      </c>
      <c r="P282" s="2">
        <v>5.0999999999999996</v>
      </c>
      <c r="Q282">
        <v>3.2</v>
      </c>
      <c r="R282" s="4">
        <v>0.9486</v>
      </c>
    </row>
    <row r="283" spans="1:18" x14ac:dyDescent="0.25">
      <c r="A283" s="1">
        <v>44713</v>
      </c>
      <c r="B283">
        <v>8.1</v>
      </c>
      <c r="C283">
        <v>5.5</v>
      </c>
      <c r="D283">
        <v>4.8</v>
      </c>
      <c r="E283">
        <v>6.3</v>
      </c>
      <c r="F283">
        <v>1.8</v>
      </c>
      <c r="G283">
        <v>5.2</v>
      </c>
      <c r="H283">
        <v>4.3</v>
      </c>
      <c r="I283">
        <v>23.629999999999995</v>
      </c>
      <c r="J283">
        <v>5.2</v>
      </c>
      <c r="K283">
        <v>4.0999999999999996</v>
      </c>
      <c r="L283">
        <v>6.6</v>
      </c>
      <c r="M283" s="2">
        <v>0.10084</v>
      </c>
      <c r="N283" s="4">
        <v>0.96</v>
      </c>
      <c r="O283" s="4">
        <v>1.43</v>
      </c>
      <c r="P283" s="2">
        <v>4.9000000000000004</v>
      </c>
      <c r="Q283">
        <v>3.7</v>
      </c>
      <c r="R283" s="4">
        <v>1.4479</v>
      </c>
    </row>
    <row r="284" spans="1:18" x14ac:dyDescent="0.25">
      <c r="A284" s="1">
        <v>44743</v>
      </c>
      <c r="B284">
        <v>7.6</v>
      </c>
      <c r="C284">
        <v>5.4</v>
      </c>
      <c r="D284">
        <v>4.9000000000000004</v>
      </c>
      <c r="E284">
        <v>6.6</v>
      </c>
      <c r="F284">
        <v>1.78</v>
      </c>
      <c r="G284">
        <v>5.2</v>
      </c>
      <c r="H284">
        <v>3.7</v>
      </c>
      <c r="I284">
        <v>23.980000000000004</v>
      </c>
      <c r="J284">
        <v>3.2</v>
      </c>
      <c r="K284">
        <v>2</v>
      </c>
      <c r="L284">
        <v>5.8</v>
      </c>
      <c r="M284" s="2">
        <v>8.2790000000000002E-2</v>
      </c>
      <c r="N284" s="4">
        <v>1.46</v>
      </c>
      <c r="O284" s="4">
        <v>2.06</v>
      </c>
      <c r="P284" s="2">
        <v>4.9000000000000004</v>
      </c>
      <c r="Q284">
        <v>4.7</v>
      </c>
      <c r="R284" s="4">
        <v>2.4655999999999998</v>
      </c>
    </row>
    <row r="285" spans="1:18" x14ac:dyDescent="0.25">
      <c r="A285" s="1">
        <v>44774</v>
      </c>
      <c r="B285">
        <v>7</v>
      </c>
      <c r="C285">
        <v>5.2</v>
      </c>
      <c r="D285">
        <v>4.7</v>
      </c>
      <c r="E285">
        <v>6.3</v>
      </c>
      <c r="F285">
        <v>1.78</v>
      </c>
      <c r="G285">
        <v>5.4</v>
      </c>
      <c r="H285">
        <v>3.7</v>
      </c>
      <c r="I285">
        <v>23.989999999999995</v>
      </c>
      <c r="J285">
        <v>0.8</v>
      </c>
      <c r="K285">
        <v>-0.5</v>
      </c>
      <c r="L285">
        <v>4.9000000000000004</v>
      </c>
      <c r="M285" s="2">
        <v>7.0910000000000001E-2</v>
      </c>
      <c r="N285" s="4">
        <v>2.4700000000000002</v>
      </c>
      <c r="O285" s="4">
        <v>2.4811999999999999</v>
      </c>
      <c r="P285" s="2">
        <v>5.4</v>
      </c>
      <c r="Q285">
        <v>4.7</v>
      </c>
      <c r="R285" s="4">
        <v>2.4811999999999999</v>
      </c>
    </row>
    <row r="286" spans="1:18" x14ac:dyDescent="0.25">
      <c r="A286" s="1">
        <v>44805</v>
      </c>
      <c r="B286">
        <v>6.9</v>
      </c>
      <c r="C286">
        <v>5.2</v>
      </c>
      <c r="D286">
        <v>4.7</v>
      </c>
      <c r="E286">
        <v>6.2</v>
      </c>
      <c r="F286">
        <v>1.71</v>
      </c>
      <c r="G286">
        <v>5.2</v>
      </c>
      <c r="H286">
        <v>4</v>
      </c>
      <c r="I286">
        <v>22.019999999999996</v>
      </c>
      <c r="J286">
        <v>0.5</v>
      </c>
      <c r="K286">
        <v>-0.8</v>
      </c>
      <c r="L286">
        <v>4.8</v>
      </c>
      <c r="M286" s="2">
        <v>0.1</v>
      </c>
      <c r="N286" s="4">
        <v>2.5</v>
      </c>
      <c r="O286" s="4">
        <v>3.07</v>
      </c>
      <c r="Q286">
        <v>5.45</v>
      </c>
      <c r="R286" s="4">
        <v>3.2130000000000001</v>
      </c>
    </row>
    <row r="287" spans="1:18" x14ac:dyDescent="0.25">
      <c r="A287" s="1">
        <v>44835</v>
      </c>
      <c r="B287">
        <v>6.9</v>
      </c>
      <c r="C287">
        <v>5.3</v>
      </c>
      <c r="D287">
        <v>4.8</v>
      </c>
      <c r="E287">
        <v>6.2</v>
      </c>
      <c r="F287">
        <v>2.0299999999999998</v>
      </c>
      <c r="G287">
        <v>5.6</v>
      </c>
      <c r="H287">
        <v>3.7</v>
      </c>
      <c r="I287">
        <v>19.569999999999993</v>
      </c>
      <c r="J287" s="2">
        <f>_xlfn.FORECAST.LINEAR(A287,J255:J286,A255:A286)</f>
        <v>6.6584968373231277</v>
      </c>
      <c r="K287" s="2">
        <v>-0.9</v>
      </c>
      <c r="L287">
        <v>4.9000000000000004</v>
      </c>
      <c r="M287" s="2">
        <v>0.1</v>
      </c>
      <c r="N287" s="4">
        <v>3.3</v>
      </c>
      <c r="O287" s="4">
        <v>3.31</v>
      </c>
      <c r="Q287">
        <v>5.45</v>
      </c>
      <c r="R287" s="4">
        <v>3.2347999999999999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8C2D-53AF-472E-8D44-D6068AD7BB16}">
  <dimension ref="A2:B287"/>
  <sheetViews>
    <sheetView workbookViewId="0">
      <selection activeCell="B18" sqref="B18"/>
    </sheetView>
  </sheetViews>
  <sheetFormatPr defaultRowHeight="15" x14ac:dyDescent="0.25"/>
  <cols>
    <col min="1" max="1" width="32" customWidth="1"/>
    <col min="2" max="2" width="23.5703125" customWidth="1"/>
    <col min="3" max="3" width="21.42578125" bestFit="1" customWidth="1"/>
    <col min="4" max="4" width="44.140625" customWidth="1"/>
    <col min="5" max="5" width="31.5703125" customWidth="1"/>
    <col min="6" max="6" width="17.28515625" customWidth="1"/>
    <col min="7" max="7" width="19" customWidth="1"/>
    <col min="8" max="8" width="22.140625" customWidth="1"/>
  </cols>
  <sheetData>
    <row r="2" spans="1:2" x14ac:dyDescent="0.25">
      <c r="A2" s="3" t="s">
        <v>18</v>
      </c>
      <c r="B2" s="2"/>
    </row>
    <row r="3" spans="1:2" x14ac:dyDescent="0.25">
      <c r="A3" s="3" t="s">
        <v>19</v>
      </c>
      <c r="B3" s="2"/>
    </row>
    <row r="4" spans="1:2" x14ac:dyDescent="0.25">
      <c r="A4" s="3" t="s">
        <v>20</v>
      </c>
      <c r="B4" s="2"/>
    </row>
    <row r="5" spans="1:2" x14ac:dyDescent="0.25">
      <c r="A5" s="3" t="s">
        <v>21</v>
      </c>
      <c r="B5" s="2"/>
    </row>
    <row r="6" spans="1:2" x14ac:dyDescent="0.25">
      <c r="A6" s="3" t="s">
        <v>22</v>
      </c>
      <c r="B6" s="2"/>
    </row>
    <row r="7" spans="1:2" x14ac:dyDescent="0.25">
      <c r="A7" s="3" t="s">
        <v>23</v>
      </c>
      <c r="B7" s="2"/>
    </row>
    <row r="8" spans="1:2" x14ac:dyDescent="0.25">
      <c r="A8" s="3" t="s">
        <v>24</v>
      </c>
      <c r="B8" s="2"/>
    </row>
    <row r="9" spans="1:2" x14ac:dyDescent="0.25">
      <c r="A9" s="3" t="s">
        <v>25</v>
      </c>
      <c r="B9" s="2"/>
    </row>
    <row r="10" spans="1:2" x14ac:dyDescent="0.25">
      <c r="A10" s="3" t="s">
        <v>26</v>
      </c>
      <c r="B10" s="2"/>
    </row>
    <row r="11" spans="1:2" x14ac:dyDescent="0.25">
      <c r="A11" s="3" t="s">
        <v>27</v>
      </c>
      <c r="B11" s="2"/>
    </row>
    <row r="12" spans="1:2" x14ac:dyDescent="0.25">
      <c r="A12" s="3" t="s">
        <v>28</v>
      </c>
      <c r="B12" s="2"/>
    </row>
    <row r="13" spans="1:2" x14ac:dyDescent="0.25">
      <c r="A13" s="3" t="s">
        <v>51</v>
      </c>
      <c r="B13" s="2"/>
    </row>
    <row r="14" spans="1:2" x14ac:dyDescent="0.25">
      <c r="A14" s="3" t="s">
        <v>29</v>
      </c>
      <c r="B14" s="2"/>
    </row>
    <row r="15" spans="1:2" x14ac:dyDescent="0.25">
      <c r="A15" s="3" t="s">
        <v>52</v>
      </c>
      <c r="B15" s="2"/>
    </row>
    <row r="16" spans="1:2" x14ac:dyDescent="0.25">
      <c r="A16" s="3" t="s">
        <v>30</v>
      </c>
      <c r="B16" s="2"/>
    </row>
    <row r="17" spans="1:2" x14ac:dyDescent="0.25">
      <c r="A17" s="3" t="s">
        <v>31</v>
      </c>
      <c r="B17" s="2"/>
    </row>
    <row r="18" spans="1:2" x14ac:dyDescent="0.25">
      <c r="A18" s="3" t="s">
        <v>53</v>
      </c>
      <c r="B18" s="2"/>
    </row>
    <row r="19" spans="1:2" x14ac:dyDescent="0.25">
      <c r="A19" s="3" t="s">
        <v>49</v>
      </c>
    </row>
    <row r="20" spans="1:2" x14ac:dyDescent="0.25">
      <c r="A20" s="3" t="s">
        <v>54</v>
      </c>
      <c r="B20" s="2"/>
    </row>
    <row r="21" spans="1:2" x14ac:dyDescent="0.25">
      <c r="A21" s="3" t="s">
        <v>32</v>
      </c>
      <c r="B21" s="2"/>
    </row>
    <row r="22" spans="1:2" x14ac:dyDescent="0.25">
      <c r="A22" s="3" t="s">
        <v>33</v>
      </c>
      <c r="B22" s="2"/>
    </row>
    <row r="23" spans="1:2" x14ac:dyDescent="0.25">
      <c r="A23" s="3" t="s">
        <v>34</v>
      </c>
      <c r="B23" s="2"/>
    </row>
    <row r="24" spans="1:2" x14ac:dyDescent="0.25">
      <c r="A24" s="3" t="s">
        <v>35</v>
      </c>
      <c r="B24" s="2"/>
    </row>
    <row r="25" spans="1:2" x14ac:dyDescent="0.25">
      <c r="A25" s="3" t="s">
        <v>36</v>
      </c>
      <c r="B25" s="2"/>
    </row>
    <row r="26" spans="1:2" x14ac:dyDescent="0.25">
      <c r="A26" s="3" t="s">
        <v>37</v>
      </c>
      <c r="B26" s="2"/>
    </row>
    <row r="27" spans="1:2" x14ac:dyDescent="0.25">
      <c r="A27" s="3" t="s">
        <v>38</v>
      </c>
      <c r="B27" s="2"/>
    </row>
    <row r="28" spans="1:2" x14ac:dyDescent="0.25">
      <c r="A28" s="3" t="s">
        <v>39</v>
      </c>
      <c r="B28" s="2"/>
    </row>
    <row r="29" spans="1:2" x14ac:dyDescent="0.25">
      <c r="A29" t="s">
        <v>48</v>
      </c>
      <c r="B29" s="2"/>
    </row>
    <row r="30" spans="1:2" x14ac:dyDescent="0.25">
      <c r="A30" s="3" t="s">
        <v>40</v>
      </c>
      <c r="B30" s="2"/>
    </row>
    <row r="31" spans="1:2" x14ac:dyDescent="0.25">
      <c r="A31" s="3" t="s">
        <v>41</v>
      </c>
      <c r="B31" s="2"/>
    </row>
    <row r="32" spans="1:2" x14ac:dyDescent="0.25">
      <c r="A32" s="3" t="s">
        <v>42</v>
      </c>
      <c r="B32" s="2"/>
    </row>
    <row r="33" spans="1:2" x14ac:dyDescent="0.25">
      <c r="A33" t="s">
        <v>50</v>
      </c>
      <c r="B33" s="2"/>
    </row>
    <row r="34" spans="1:2" x14ac:dyDescent="0.25">
      <c r="A34" t="s">
        <v>47</v>
      </c>
      <c r="B34" s="2"/>
    </row>
    <row r="35" spans="1:2" x14ac:dyDescent="0.25">
      <c r="A35" t="s">
        <v>46</v>
      </c>
      <c r="B35" s="2"/>
    </row>
    <row r="36" spans="1:2" x14ac:dyDescent="0.25">
      <c r="A36" t="s">
        <v>44</v>
      </c>
      <c r="B36" s="2"/>
    </row>
    <row r="37" spans="1:2" x14ac:dyDescent="0.25">
      <c r="A37" t="s">
        <v>45</v>
      </c>
      <c r="B37" s="2"/>
    </row>
    <row r="38" spans="1:2" x14ac:dyDescent="0.25">
      <c r="A38" s="2" t="s">
        <v>43</v>
      </c>
      <c r="B38" s="2"/>
    </row>
    <row r="39" spans="1:2" x14ac:dyDescent="0.25">
      <c r="A39" s="3"/>
      <c r="B39" s="2"/>
    </row>
    <row r="40" spans="1:2" x14ac:dyDescent="0.25">
      <c r="A40" s="3"/>
      <c r="B40" s="2"/>
    </row>
    <row r="41" spans="1:2" x14ac:dyDescent="0.25">
      <c r="A41" s="3"/>
      <c r="B41" s="2"/>
    </row>
    <row r="42" spans="1:2" x14ac:dyDescent="0.25">
      <c r="A42" s="3"/>
      <c r="B42" s="2"/>
    </row>
    <row r="43" spans="1:2" x14ac:dyDescent="0.25">
      <c r="A43" s="3"/>
      <c r="B43" s="2"/>
    </row>
    <row r="44" spans="1:2" x14ac:dyDescent="0.25">
      <c r="A44" s="3"/>
      <c r="B44" s="2"/>
    </row>
    <row r="45" spans="1:2" x14ac:dyDescent="0.25">
      <c r="A45" s="3"/>
      <c r="B45" s="2"/>
    </row>
    <row r="46" spans="1:2" x14ac:dyDescent="0.25">
      <c r="A46" s="3"/>
      <c r="B46" s="2"/>
    </row>
    <row r="47" spans="1:2" x14ac:dyDescent="0.25">
      <c r="A47" s="3"/>
      <c r="B47" s="2"/>
    </row>
    <row r="48" spans="1:2" x14ac:dyDescent="0.25">
      <c r="A48" s="3"/>
      <c r="B48" s="2"/>
    </row>
    <row r="49" spans="1:2" x14ac:dyDescent="0.25">
      <c r="A49" s="3"/>
      <c r="B49" s="2"/>
    </row>
    <row r="50" spans="1:2" x14ac:dyDescent="0.25">
      <c r="A50" s="3"/>
      <c r="B50" s="2"/>
    </row>
    <row r="51" spans="1:2" x14ac:dyDescent="0.25">
      <c r="A51" s="3"/>
      <c r="B51" s="2"/>
    </row>
    <row r="52" spans="1:2" x14ac:dyDescent="0.25">
      <c r="A52" s="3"/>
      <c r="B52" s="2"/>
    </row>
    <row r="53" spans="1:2" x14ac:dyDescent="0.25">
      <c r="A53" s="3"/>
      <c r="B53" s="2"/>
    </row>
    <row r="54" spans="1:2" x14ac:dyDescent="0.25">
      <c r="A54" s="3"/>
      <c r="B54" s="2"/>
    </row>
    <row r="55" spans="1:2" x14ac:dyDescent="0.25">
      <c r="A55" s="3"/>
      <c r="B55" s="2"/>
    </row>
    <row r="56" spans="1:2" x14ac:dyDescent="0.25">
      <c r="A56" s="3"/>
      <c r="B56" s="2"/>
    </row>
    <row r="57" spans="1:2" x14ac:dyDescent="0.25">
      <c r="A57" s="3"/>
      <c r="B57" s="2"/>
    </row>
    <row r="58" spans="1:2" x14ac:dyDescent="0.25">
      <c r="A58" s="3"/>
      <c r="B58" s="2"/>
    </row>
    <row r="59" spans="1:2" x14ac:dyDescent="0.25">
      <c r="A59" s="3"/>
      <c r="B59" s="2"/>
    </row>
    <row r="60" spans="1:2" x14ac:dyDescent="0.25">
      <c r="A60" s="3"/>
      <c r="B60" s="2"/>
    </row>
    <row r="61" spans="1:2" x14ac:dyDescent="0.25">
      <c r="A61" s="3"/>
      <c r="B61" s="2"/>
    </row>
    <row r="62" spans="1:2" x14ac:dyDescent="0.25">
      <c r="A62" s="3"/>
      <c r="B62" s="2"/>
    </row>
    <row r="63" spans="1:2" x14ac:dyDescent="0.25">
      <c r="A63" s="3"/>
      <c r="B63" s="2"/>
    </row>
    <row r="64" spans="1:2" x14ac:dyDescent="0.25">
      <c r="A64" s="3"/>
      <c r="B64" s="2"/>
    </row>
    <row r="65" spans="1:2" x14ac:dyDescent="0.25">
      <c r="A65" s="3"/>
      <c r="B65" s="2"/>
    </row>
    <row r="66" spans="1:2" x14ac:dyDescent="0.25">
      <c r="A66" s="3"/>
      <c r="B66" s="2"/>
    </row>
    <row r="67" spans="1:2" x14ac:dyDescent="0.25">
      <c r="A67" s="3"/>
      <c r="B67" s="2"/>
    </row>
    <row r="68" spans="1:2" x14ac:dyDescent="0.25">
      <c r="A68" s="3"/>
      <c r="B68" s="2"/>
    </row>
    <row r="69" spans="1:2" x14ac:dyDescent="0.25">
      <c r="A69" s="3"/>
      <c r="B69" s="2"/>
    </row>
    <row r="70" spans="1:2" x14ac:dyDescent="0.25">
      <c r="A70" s="3"/>
      <c r="B70" s="2"/>
    </row>
    <row r="71" spans="1:2" x14ac:dyDescent="0.25">
      <c r="A71" s="3"/>
      <c r="B71" s="2"/>
    </row>
    <row r="72" spans="1:2" x14ac:dyDescent="0.25">
      <c r="A72" s="3"/>
      <c r="B72" s="2"/>
    </row>
    <row r="73" spans="1:2" x14ac:dyDescent="0.25">
      <c r="A73" s="3"/>
      <c r="B73" s="2"/>
    </row>
    <row r="74" spans="1:2" x14ac:dyDescent="0.25">
      <c r="A74" s="3"/>
      <c r="B74" s="2"/>
    </row>
    <row r="75" spans="1:2" x14ac:dyDescent="0.25">
      <c r="A75" s="3"/>
      <c r="B75" s="2"/>
    </row>
    <row r="76" spans="1:2" x14ac:dyDescent="0.25">
      <c r="A76" s="3"/>
      <c r="B76" s="2"/>
    </row>
    <row r="77" spans="1:2" x14ac:dyDescent="0.25">
      <c r="A77" s="3"/>
      <c r="B77" s="2"/>
    </row>
    <row r="78" spans="1:2" x14ac:dyDescent="0.25">
      <c r="A78" s="3"/>
      <c r="B78" s="2"/>
    </row>
    <row r="79" spans="1:2" x14ac:dyDescent="0.25">
      <c r="A79" s="3"/>
      <c r="B79" s="2"/>
    </row>
    <row r="80" spans="1:2" x14ac:dyDescent="0.25">
      <c r="A80" s="3"/>
      <c r="B80" s="2"/>
    </row>
    <row r="81" spans="1:2" x14ac:dyDescent="0.25">
      <c r="A81" s="3"/>
      <c r="B81" s="2"/>
    </row>
    <row r="82" spans="1:2" x14ac:dyDescent="0.25">
      <c r="A82" s="3"/>
      <c r="B82" s="2"/>
    </row>
    <row r="83" spans="1:2" x14ac:dyDescent="0.25">
      <c r="A83" s="3"/>
      <c r="B83" s="2"/>
    </row>
    <row r="84" spans="1:2" x14ac:dyDescent="0.25">
      <c r="A84" s="3"/>
      <c r="B84" s="2"/>
    </row>
    <row r="85" spans="1:2" x14ac:dyDescent="0.25">
      <c r="A85" s="3"/>
      <c r="B85" s="2"/>
    </row>
    <row r="86" spans="1:2" x14ac:dyDescent="0.25">
      <c r="A86" s="3"/>
      <c r="B86" s="2"/>
    </row>
    <row r="87" spans="1:2" x14ac:dyDescent="0.25">
      <c r="A87" s="3"/>
      <c r="B87" s="2"/>
    </row>
    <row r="88" spans="1:2" x14ac:dyDescent="0.25">
      <c r="A88" s="3"/>
      <c r="B88" s="2"/>
    </row>
    <row r="89" spans="1:2" x14ac:dyDescent="0.25">
      <c r="A89" s="3"/>
      <c r="B89" s="2"/>
    </row>
    <row r="90" spans="1:2" x14ac:dyDescent="0.25">
      <c r="A90" s="3"/>
      <c r="B90" s="2"/>
    </row>
    <row r="91" spans="1:2" x14ac:dyDescent="0.25">
      <c r="A91" s="3"/>
      <c r="B91" s="2"/>
    </row>
    <row r="92" spans="1:2" x14ac:dyDescent="0.25">
      <c r="A92" s="3"/>
      <c r="B92" s="2"/>
    </row>
    <row r="93" spans="1:2" x14ac:dyDescent="0.25">
      <c r="A93" s="3"/>
      <c r="B93" s="2"/>
    </row>
    <row r="94" spans="1:2" x14ac:dyDescent="0.25">
      <c r="A94" s="3"/>
      <c r="B94" s="2"/>
    </row>
    <row r="95" spans="1:2" x14ac:dyDescent="0.25">
      <c r="A95" s="3"/>
      <c r="B95" s="2"/>
    </row>
    <row r="96" spans="1:2" x14ac:dyDescent="0.25">
      <c r="A96" s="3"/>
      <c r="B96" s="2"/>
    </row>
    <row r="97" spans="1:2" x14ac:dyDescent="0.25">
      <c r="A97" s="3"/>
      <c r="B97" s="2"/>
    </row>
    <row r="98" spans="1:2" x14ac:dyDescent="0.25">
      <c r="A98" s="3"/>
      <c r="B98" s="2"/>
    </row>
    <row r="99" spans="1:2" x14ac:dyDescent="0.25">
      <c r="A99" s="3"/>
      <c r="B99" s="2"/>
    </row>
    <row r="100" spans="1:2" x14ac:dyDescent="0.25">
      <c r="A100" s="3"/>
      <c r="B100" s="2"/>
    </row>
    <row r="101" spans="1:2" x14ac:dyDescent="0.25">
      <c r="A101" s="3"/>
      <c r="B101" s="2"/>
    </row>
    <row r="102" spans="1:2" x14ac:dyDescent="0.25">
      <c r="A102" s="3"/>
      <c r="B102" s="2"/>
    </row>
    <row r="103" spans="1:2" x14ac:dyDescent="0.25">
      <c r="A103" s="3"/>
      <c r="B103" s="2"/>
    </row>
    <row r="104" spans="1:2" x14ac:dyDescent="0.25">
      <c r="A104" s="3"/>
      <c r="B104" s="2"/>
    </row>
    <row r="105" spans="1:2" x14ac:dyDescent="0.25">
      <c r="A105" s="3"/>
      <c r="B105" s="2"/>
    </row>
    <row r="106" spans="1:2" x14ac:dyDescent="0.25">
      <c r="A106" s="3"/>
      <c r="B106" s="2"/>
    </row>
    <row r="107" spans="1:2" x14ac:dyDescent="0.25">
      <c r="A107" s="3"/>
      <c r="B107" s="2"/>
    </row>
    <row r="108" spans="1:2" x14ac:dyDescent="0.25">
      <c r="A108" s="3"/>
      <c r="B108" s="2"/>
    </row>
    <row r="109" spans="1:2" x14ac:dyDescent="0.25">
      <c r="A109" s="3"/>
      <c r="B109" s="2"/>
    </row>
    <row r="110" spans="1:2" x14ac:dyDescent="0.25">
      <c r="A110" s="3"/>
    </row>
    <row r="111" spans="1:2" x14ac:dyDescent="0.25">
      <c r="A111" s="3"/>
    </row>
    <row r="112" spans="1:2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Somaiya</dc:creator>
  <cp:lastModifiedBy>Maddy Somaiya</cp:lastModifiedBy>
  <dcterms:created xsi:type="dcterms:W3CDTF">2022-12-12T07:07:10Z</dcterms:created>
  <dcterms:modified xsi:type="dcterms:W3CDTF">2022-12-13T04:38:55Z</dcterms:modified>
</cp:coreProperties>
</file>